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表" sheetId="1" state="visible" r:id="rId1"/>
  </sheets>
  <definedNames>
    <definedName name="_xlnm._FilterDatabase" localSheetId="0" hidden="1">'確認表'!$A$7:$M$58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sz val="11"/>
    </font>
    <font>
      <b val="1"/>
      <sz val="12"/>
    </font>
    <font>
      <color rgb="0057606A"/>
      <sz val="10"/>
    </font>
    <font>
      <sz val="10"/>
    </font>
    <font>
      <b val="1"/>
      <color rgb="00CF222E"/>
      <sz val="10"/>
    </font>
  </fonts>
  <fills count="4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FFF9DB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DAFBE1"/>
        </patternFill>
      </fill>
    </dxf>
    <dxf>
      <fill>
        <patternFill patternType="solid">
          <fgColor rgb="00FFEB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20" customWidth="1" min="4" max="4"/>
    <col width="36" customWidth="1" min="5" max="5"/>
    <col width="30" customWidth="1" min="6" max="6"/>
    <col width="20" customWidth="1" min="7" max="7"/>
    <col width="14" customWidth="1" min="8" max="8"/>
    <col width="12" customWidth="1" min="9" max="9"/>
    <col width="13" customWidth="1" min="10" max="10"/>
    <col width="28" customWidth="1" min="11" max="11"/>
    <col width="10" customWidth="1" min="12" max="12"/>
    <col width="12" customWidth="1" min="13" max="13"/>
  </cols>
  <sheetData>
    <row r="1">
      <c r="A1" s="1" t="inlineStr">
        <is>
          <t>従業員管理 受入条件 確認表 ─ 実装が条件を満たしたかを判定する</t>
        </is>
      </c>
    </row>
    <row r="2">
      <c r="A2" s="2" t="inlineStr">
        <is>
          <t>L0 リリース不可</t>
        </is>
      </c>
      <c r="B2" s="3">
        <f>COUNTIFS(B8:B58,"L0*",J8:J58,"合格")&amp;" / "&amp;COUNTIF(B8:B58,"L0*")&amp;" 合格"</f>
        <v/>
      </c>
      <c r="C2" s="4" t="n"/>
      <c r="D2" s="4" t="n"/>
      <c r="E2" s="5" t="n"/>
    </row>
    <row r="3">
      <c r="A3" s="2" t="inlineStr">
        <is>
          <t>落とせない条件（★中止・不可）</t>
        </is>
      </c>
      <c r="B3" s="3">
        <f>COUNTIFS(I8:I58,"★中止",J8:J58,"合格")+COUNTIFS(I8:I58,"不可",J8:J58,"合格")&amp;" / "&amp;(COUNTIF(I8:I58,"★中止")+COUNTIF(I8:I58,"不可"))&amp;" 合格"</f>
        <v/>
      </c>
      <c r="C3" s="4" t="n"/>
      <c r="D3" s="4" t="n"/>
      <c r="E3" s="5" t="n"/>
    </row>
    <row r="4">
      <c r="A4" s="2" t="inlineStr">
        <is>
          <t>リリース判断</t>
        </is>
      </c>
      <c r="B4" s="6">
        <f>IF(COUNTIFS(B8:B58,"L0*",J8:J58,"合格")&lt;COUNTIF(B8:B58,"L0*"),"✗ No-Go ／ L0が未達",IF(COUNTIFS(I8:I58,"不可",J8:J58,"合格")&lt;COUNTIF(I8:I58,"不可"),"△ 設計MVP未達 ／ 落とせない条件が残っている",IF(COUNTIFS(I8:I58,"条件付きGo可",J8:J58,"合格")&lt;COUNTIF(I8:I58,"条件付きGo可"),"◯ 条件付きGo ／ 残りは手作業で代替","◎ Go ／ すべて合格")))</f>
        <v/>
      </c>
      <c r="C4" s="4" t="n"/>
      <c r="D4" s="4" t="n"/>
      <c r="E4" s="5" t="n"/>
    </row>
    <row r="6" ht="48" customHeight="1">
      <c r="A6" s="7" t="inlineStr">
        <is>
          <t>記入の手順：①「確認する画面」と「操作」のとおりに操作 → ②判定をプルダウンで選ぶ → ③実測値・所見に実際に出た数値を書く → ④確認日・確認者を入れる。　条件の合否は「検証ID」のケースがすべて合格なら合格。確認方法が「操作＋実装レビュー」の12条件は画面操作だけでは判定できません（R-01〜R-05で実装物を確認）。黄色が記入欄、上の判定は自動計算です。</t>
        </is>
      </c>
    </row>
    <row r="7" ht="32" customHeight="1">
      <c r="A7" s="8" t="inlineStr">
        <is>
          <t>条件ID</t>
        </is>
      </c>
      <c r="B7" s="8" t="inlineStr">
        <is>
          <t>判定レベル</t>
        </is>
      </c>
      <c r="C7" s="8" t="inlineStr">
        <is>
          <t>実装マイルストーン</t>
        </is>
      </c>
      <c r="D7" s="8" t="inlineStr">
        <is>
          <t>確認する画面</t>
        </is>
      </c>
      <c r="E7" s="8" t="inlineStr">
        <is>
          <t>操作（何をすると起きるか）</t>
        </is>
      </c>
      <c r="F7" s="8" t="inlineStr">
        <is>
          <t>合格基準（定量）</t>
        </is>
      </c>
      <c r="G7" s="8" t="inlineStr">
        <is>
          <t>検証ID</t>
        </is>
      </c>
      <c r="H7" s="8" t="inlineStr">
        <is>
          <t>確認方法</t>
        </is>
      </c>
      <c r="I7" s="8" t="inlineStr">
        <is>
          <t>リリース影響</t>
        </is>
      </c>
      <c r="J7" s="8" t="inlineStr">
        <is>
          <t>判定（合格/不合格/未実装）</t>
        </is>
      </c>
      <c r="K7" s="8" t="inlineStr">
        <is>
          <t>実測値・所見</t>
        </is>
      </c>
      <c r="L7" s="8" t="inlineStr">
        <is>
          <t>確認日</t>
        </is>
      </c>
      <c r="M7" s="8" t="inlineStr">
        <is>
          <t>確認者</t>
        </is>
      </c>
    </row>
    <row r="8">
      <c r="A8" s="9" t="inlineStr">
        <is>
          <t>AC-02</t>
        </is>
      </c>
      <c r="B8" s="9" t="inlineStr">
        <is>
          <t>L1 MVP必須</t>
        </is>
      </c>
      <c r="C8" s="9" t="inlineStr">
        <is>
          <t>実装M1 データ基盤</t>
        </is>
      </c>
      <c r="D8" s="10" t="inlineStr">
        <is>
          <t>従業員設定履歴</t>
        </is>
      </c>
      <c r="E8" s="10" t="inlineStr">
        <is>
          <t>移行後に設定履歴を全件出力する</t>
        </is>
      </c>
      <c r="F8" s="10" t="inlineStr">
        <is>
          <t>適用日付がNULLの行=0件</t>
        </is>
      </c>
      <c r="G8" s="10" t="inlineStr">
        <is>
          <t>T-Z01</t>
        </is>
      </c>
      <c r="H8" s="10" t="inlineStr">
        <is>
          <t>操作で確認</t>
        </is>
      </c>
      <c r="I8" s="10" t="inlineStr">
        <is>
          <t>不可</t>
        </is>
      </c>
      <c r="J8" s="11" t="inlineStr"/>
      <c r="K8" s="11" t="inlineStr"/>
      <c r="L8" s="11" t="inlineStr"/>
      <c r="M8" s="11" t="inlineStr"/>
    </row>
    <row r="9">
      <c r="A9" s="9" t="inlineStr">
        <is>
          <t>AC-04</t>
        </is>
      </c>
      <c r="B9" s="9" t="inlineStr">
        <is>
          <t>L1 MVP必須</t>
        </is>
      </c>
      <c r="C9" s="9" t="inlineStr">
        <is>
          <t>実装M1 データ基盤</t>
        </is>
      </c>
      <c r="D9" s="10" t="inlineStr">
        <is>
          <t>従業員詳細 → 従業員一覧</t>
        </is>
      </c>
      <c r="E9" s="10" t="inlineStr">
        <is>
          <t>単位給与額を変更し、適用日付＝翌月1日で保存する</t>
        </is>
      </c>
      <c r="F9" s="10" t="inlineStr">
        <is>
          <t>当日時点での反映=0件（一覧は旧値のまま）</t>
        </is>
      </c>
      <c r="G9" s="10" t="inlineStr">
        <is>
          <t>T-D04 C-006</t>
        </is>
      </c>
      <c r="H9" s="10" t="inlineStr">
        <is>
          <t>操作で確認</t>
        </is>
      </c>
      <c r="I9" s="10" t="inlineStr">
        <is>
          <t>不可</t>
        </is>
      </c>
      <c r="J9" s="11" t="inlineStr"/>
      <c r="K9" s="11" t="inlineStr"/>
      <c r="L9" s="11" t="inlineStr"/>
      <c r="M9" s="11" t="inlineStr"/>
    </row>
    <row r="10">
      <c r="A10" s="9" t="inlineStr">
        <is>
          <t>AC-06</t>
        </is>
      </c>
      <c r="B10" s="9" t="inlineStr">
        <is>
          <t>L1 MVP必須</t>
        </is>
      </c>
      <c r="C10" s="9" t="inlineStr">
        <is>
          <t>実装M1 データ基盤</t>
        </is>
      </c>
      <c r="D10" s="10" t="inlineStr">
        <is>
          <t>従業員詳細 → 従業員一覧</t>
        </is>
      </c>
      <c r="E10" s="10" t="inlineStr">
        <is>
          <t>適用日付＝当日で保存する</t>
        </is>
      </c>
      <c r="F10" s="10" t="inlineStr">
        <is>
          <t>反映の遅延=0（再読込で新値）</t>
        </is>
      </c>
      <c r="G10" s="10" t="inlineStr">
        <is>
          <t>T-D06 T-R02 T-R07</t>
        </is>
      </c>
      <c r="H10" s="10" t="inlineStr">
        <is>
          <t>操作で確認</t>
        </is>
      </c>
      <c r="I10" s="10" t="inlineStr">
        <is>
          <t>不可</t>
        </is>
      </c>
      <c r="J10" s="11" t="inlineStr"/>
      <c r="K10" s="11" t="inlineStr"/>
      <c r="L10" s="11" t="inlineStr"/>
      <c r="M10" s="11" t="inlineStr"/>
    </row>
    <row r="11">
      <c r="A11" s="9" t="inlineStr">
        <is>
          <t>AC-07</t>
        </is>
      </c>
      <c r="B11" s="9" t="inlineStr">
        <is>
          <t>L1 MVP必須</t>
        </is>
      </c>
      <c r="C11" s="9" t="inlineStr">
        <is>
          <t>実装M1 データ基盤</t>
        </is>
      </c>
      <c r="D11" s="10" t="inlineStr">
        <is>
          <t>従業員詳細／設定履歴</t>
        </is>
      </c>
      <c r="E11" s="10" t="inlineStr">
        <is>
          <t>設定を1回変更し、変更前後の履歴を突合する</t>
        </is>
      </c>
      <c r="F11" s="10" t="inlineStr">
        <is>
          <t>履歴が1行増え、既存行の差分=0</t>
        </is>
      </c>
      <c r="G11" s="10" t="inlineStr">
        <is>
          <t>T-D01 T-H01 R-01</t>
        </is>
      </c>
      <c r="H11" s="10" t="inlineStr">
        <is>
          <t>操作＋実装レビュー</t>
        </is>
      </c>
      <c r="I11" s="10" t="inlineStr">
        <is>
          <t>不可</t>
        </is>
      </c>
      <c r="J11" s="11" t="inlineStr"/>
      <c r="K11" s="11" t="inlineStr"/>
      <c r="L11" s="11" t="inlineStr"/>
      <c r="M11" s="11" t="inlineStr"/>
    </row>
    <row r="12">
      <c r="A12" s="9" t="inlineStr">
        <is>
          <t>AC-08</t>
        </is>
      </c>
      <c r="B12" s="9" t="inlineStr">
        <is>
          <t>L1 MVP必須</t>
        </is>
      </c>
      <c r="C12" s="9" t="inlineStr">
        <is>
          <t>実装M1 データ基盤</t>
        </is>
      </c>
      <c r="D12" s="10" t="inlineStr">
        <is>
          <t>従業員設定履歴</t>
        </is>
      </c>
      <c r="E12" s="10" t="inlineStr">
        <is>
          <t>手動編集・予約・KOT取込・ジョブカン取込の4経路で変更する</t>
        </is>
      </c>
      <c r="F12" s="10" t="inlineStr">
        <is>
          <t>4種すべてが記録・絞り込み可能</t>
        </is>
      </c>
      <c r="G12" s="10" t="inlineStr">
        <is>
          <t>T-H02</t>
        </is>
      </c>
      <c r="H12" s="10" t="inlineStr">
        <is>
          <t>操作で確認</t>
        </is>
      </c>
      <c r="I12" s="10" t="inlineStr">
        <is>
          <t>不可</t>
        </is>
      </c>
      <c r="J12" s="11" t="inlineStr"/>
      <c r="K12" s="11" t="inlineStr"/>
      <c r="L12" s="11" t="inlineStr"/>
      <c r="M12" s="11" t="inlineStr"/>
    </row>
    <row r="13">
      <c r="A13" s="9" t="inlineStr">
        <is>
          <t>AC-09</t>
        </is>
      </c>
      <c r="B13" s="9" t="inlineStr">
        <is>
          <t>L1 MVP必須</t>
        </is>
      </c>
      <c r="C13" s="9" t="inlineStr">
        <is>
          <t>実装M1 データ基盤</t>
        </is>
      </c>
      <c r="D13" s="10" t="inlineStr">
        <is>
          <t>従業員設定履歴</t>
        </is>
      </c>
      <c r="E13" s="10" t="inlineStr">
        <is>
          <t>予約を登録し、2つの日時を比較する</t>
        </is>
      </c>
      <c r="F13" s="10" t="inlineStr">
        <is>
          <t>予約行で 変更反映日時 ≠ 編集日時</t>
        </is>
      </c>
      <c r="G13" s="10" t="inlineStr">
        <is>
          <t>T-H02</t>
        </is>
      </c>
      <c r="H13" s="10" t="inlineStr">
        <is>
          <t>操作で確認</t>
        </is>
      </c>
      <c r="I13" s="10" t="inlineStr">
        <is>
          <t>不可</t>
        </is>
      </c>
      <c r="J13" s="11" t="inlineStr"/>
      <c r="K13" s="11" t="inlineStr"/>
      <c r="L13" s="11" t="inlineStr"/>
      <c r="M13" s="11" t="inlineStr"/>
    </row>
    <row r="14">
      <c r="A14" s="9" t="inlineStr">
        <is>
          <t>AC-40</t>
        </is>
      </c>
      <c r="B14" s="9" t="inlineStr">
        <is>
          <t>L1 MVP必須</t>
        </is>
      </c>
      <c r="C14" s="9" t="inlineStr">
        <is>
          <t>実装M1 データ基盤</t>
        </is>
      </c>
      <c r="D14" s="10" t="inlineStr">
        <is>
          <t>設定インポート／従業員一覧</t>
        </is>
      </c>
      <c r="E14" s="10" t="inlineStr">
        <is>
          <t>同じCSVを2回取り込む／同一コードが2行あるCSVを取り込む</t>
        </is>
      </c>
      <c r="F14" s="10" t="inlineStr">
        <is>
          <t>二重登録=0件（2回目は更新・件数増加なし）</t>
        </is>
      </c>
      <c r="G14" s="10" t="inlineStr">
        <is>
          <t>T-I17 R-01</t>
        </is>
      </c>
      <c r="H14" s="10" t="inlineStr">
        <is>
          <t>操作＋実装レビュー</t>
        </is>
      </c>
      <c r="I14" s="10" t="inlineStr">
        <is>
          <t>不可</t>
        </is>
      </c>
      <c r="J14" s="11" t="inlineStr"/>
      <c r="K14" s="11" t="inlineStr"/>
      <c r="L14" s="11" t="inlineStr"/>
      <c r="M14" s="11" t="inlineStr"/>
    </row>
    <row r="15">
      <c r="A15" s="9" t="inlineStr">
        <is>
          <t>AC-47</t>
        </is>
      </c>
      <c r="B15" s="9" t="inlineStr">
        <is>
          <t>L1 MVP必須</t>
        </is>
      </c>
      <c r="C15" s="9" t="inlineStr">
        <is>
          <t>実装M1 データ基盤</t>
        </is>
      </c>
      <c r="D15" s="10" t="inlineStr">
        <is>
          <t>従業員登録／従業員詳細</t>
        </is>
      </c>
      <c r="E15" s="10" t="inlineStr">
        <is>
          <t>ヘルプ先店舗を複数選び、店舗ごとの交通費を入力する</t>
        </is>
      </c>
      <c r="F15" s="10" t="inlineStr">
        <is>
          <t>選んだ店舗数ぶんの入力欄が出る（EMP-001＝2件：S02=700・S03=900）。1つにまとめられない</t>
        </is>
      </c>
      <c r="G15" s="10" t="inlineStr">
        <is>
          <t>T-R04 R-01</t>
        </is>
      </c>
      <c r="H15" s="10" t="inlineStr">
        <is>
          <t>操作＋実装レビュー</t>
        </is>
      </c>
      <c r="I15" s="10" t="inlineStr">
        <is>
          <t>不可</t>
        </is>
      </c>
      <c r="J15" s="11" t="inlineStr"/>
      <c r="K15" s="11" t="inlineStr"/>
      <c r="L15" s="11" t="inlineStr"/>
      <c r="M15" s="11" t="inlineStr"/>
    </row>
    <row r="16">
      <c r="A16" s="12" t="inlineStr">
        <is>
          <t>AC-11</t>
        </is>
      </c>
      <c r="B16" s="9" t="inlineStr">
        <is>
          <t>L0 リリース不可</t>
        </is>
      </c>
      <c r="C16" s="9" t="inlineStr">
        <is>
          <t>実装M2 計算エンジン</t>
        </is>
      </c>
      <c r="D16" s="10" t="inlineStr">
        <is>
          <t>人件費実績（月別・実績）</t>
        </is>
      </c>
      <c r="E16" s="10" t="inlineStr">
        <is>
          <t>店舗フィルタで5店それぞれ出力し、合計を全社と突合する</t>
        </is>
      </c>
      <c r="F16" s="10" t="inlineStr">
        <is>
          <t>店舗5店の合計 − 全社 = 0円（1,461,312円）</t>
        </is>
      </c>
      <c r="G16" s="10" t="inlineStr">
        <is>
          <t>S-02 C-005 R-04</t>
        </is>
      </c>
      <c r="H16" s="10" t="inlineStr">
        <is>
          <t>操作＋実装レビュー</t>
        </is>
      </c>
      <c r="I16" s="10" t="inlineStr">
        <is>
          <t>★中止</t>
        </is>
      </c>
      <c r="J16" s="11" t="inlineStr"/>
      <c r="K16" s="11" t="inlineStr"/>
      <c r="L16" s="11" t="inlineStr"/>
      <c r="M16" s="11" t="inlineStr"/>
    </row>
    <row r="17">
      <c r="A17" s="9" t="inlineStr">
        <is>
          <t>AC-05</t>
        </is>
      </c>
      <c r="B17" s="9" t="inlineStr">
        <is>
          <t>L1 MVP必須</t>
        </is>
      </c>
      <c r="C17" s="9" t="inlineStr">
        <is>
          <t>実装M2 計算エンジン</t>
        </is>
      </c>
      <c r="D17" s="10" t="inlineStr">
        <is>
          <t>従業員一覧／設定履歴</t>
        </is>
      </c>
      <c r="E17" s="10" t="inlineStr">
        <is>
          <t>適用日をまたぐ（またはバッチ実行後に）再表示する</t>
        </is>
      </c>
      <c r="F17" s="10" t="inlineStr">
        <is>
          <t>適用日00:00以降に新値・ステータスが「適用中」</t>
        </is>
      </c>
      <c r="G17" s="10" t="inlineStr">
        <is>
          <t>T-D05</t>
        </is>
      </c>
      <c r="H17" s="10" t="inlineStr">
        <is>
          <t>操作で確認</t>
        </is>
      </c>
      <c r="I17" s="10" t="inlineStr">
        <is>
          <t>不可</t>
        </is>
      </c>
      <c r="J17" s="11" t="inlineStr"/>
      <c r="K17" s="11" t="inlineStr"/>
      <c r="L17" s="11" t="inlineStr"/>
      <c r="M17" s="11" t="inlineStr"/>
    </row>
    <row r="18">
      <c r="A18" s="9" t="inlineStr">
        <is>
          <t>AC-10</t>
        </is>
      </c>
      <c r="B18" s="9" t="inlineStr">
        <is>
          <t>L1 MVP必須</t>
        </is>
      </c>
      <c r="C18" s="9" t="inlineStr">
        <is>
          <t>実装M2 計算エンジン</t>
        </is>
      </c>
      <c r="D18" s="10" t="inlineStr">
        <is>
          <t>人件費実績（月別・実績）</t>
        </is>
      </c>
      <c r="E18" s="10" t="inlineStr">
        <is>
          <t>2026-05の実績を出力し、確定した算式で全行を検算する</t>
        </is>
      </c>
      <c r="F18" s="10" t="inlineStr">
        <is>
          <t>全行で差分=0円（EMP-001=338,000／EMP-002=285,250／EMP-003=144,000／EMP-005=382,812／EMP-007=311,250）</t>
        </is>
      </c>
      <c r="G18" s="10" t="inlineStr">
        <is>
          <t>S-02 S-03 T-A02 T-A05 C-001 C-003 C-013</t>
        </is>
      </c>
      <c r="H18" s="10" t="inlineStr">
        <is>
          <t>操作で確認</t>
        </is>
      </c>
      <c r="I18" s="10" t="inlineStr">
        <is>
          <t>不可</t>
        </is>
      </c>
      <c r="J18" s="11" t="inlineStr"/>
      <c r="K18" s="11" t="inlineStr"/>
      <c r="L18" s="11" t="inlineStr"/>
      <c r="M18" s="11" t="inlineStr"/>
    </row>
    <row r="19">
      <c r="A19" s="9" t="inlineStr">
        <is>
          <t>AC-12</t>
        </is>
      </c>
      <c r="B19" s="9" t="inlineStr">
        <is>
          <t>L1 MVP必須</t>
        </is>
      </c>
      <c r="C19" s="9" t="inlineStr">
        <is>
          <t>実装M2 計算エンジン</t>
        </is>
      </c>
      <c r="D19" s="10" t="inlineStr">
        <is>
          <t>人件費実績（月別・概算）</t>
        </is>
      </c>
      <c r="E19" s="10" t="inlineStr">
        <is>
          <t>EMP-001を2026-06-11から340,000へ改定する</t>
        </is>
      </c>
      <c r="F19" s="10" t="inlineStr">
        <is>
          <t>332,727円（320,000×8/22＋340,000×14/22）</t>
        </is>
      </c>
      <c r="G19" s="10" t="inlineStr">
        <is>
          <t>S-02 C-006</t>
        </is>
      </c>
      <c r="H19" s="10" t="inlineStr">
        <is>
          <t>操作で確認</t>
        </is>
      </c>
      <c r="I19" s="10" t="inlineStr">
        <is>
          <t>不可</t>
        </is>
      </c>
      <c r="J19" s="11" t="inlineStr"/>
      <c r="K19" s="11" t="inlineStr"/>
      <c r="L19" s="11" t="inlineStr"/>
      <c r="M19" s="11" t="inlineStr"/>
    </row>
    <row r="20">
      <c r="A20" s="9" t="inlineStr">
        <is>
          <t>AC-13</t>
        </is>
      </c>
      <c r="B20" s="9" t="inlineStr">
        <is>
          <t>L1 MVP必須</t>
        </is>
      </c>
      <c r="C20" s="9" t="inlineStr">
        <is>
          <t>実装M2 計算エンジン</t>
        </is>
      </c>
      <c r="D20" s="10" t="inlineStr">
        <is>
          <t>人件費実績（月別・概算）</t>
        </is>
      </c>
      <c r="E20" s="10" t="inlineStr">
        <is>
          <t>EMP-003（時給1,200・所定120h）を確認する</t>
        </is>
      </c>
      <c r="F20" s="10" t="inlineStr">
        <is>
          <t>144,000円（差分0）</t>
        </is>
      </c>
      <c r="G20" s="10" t="inlineStr">
        <is>
          <t>C-011</t>
        </is>
      </c>
      <c r="H20" s="10" t="inlineStr">
        <is>
          <t>操作で確認</t>
        </is>
      </c>
      <c r="I20" s="10" t="inlineStr">
        <is>
          <t>不可</t>
        </is>
      </c>
      <c r="J20" s="11" t="inlineStr"/>
      <c r="K20" s="11" t="inlineStr"/>
      <c r="L20" s="11" t="inlineStr"/>
      <c r="M20" s="11" t="inlineStr"/>
    </row>
    <row r="21">
      <c r="A21" s="9" t="inlineStr">
        <is>
          <t>AC-14</t>
        </is>
      </c>
      <c r="B21" s="9" t="inlineStr">
        <is>
          <t>L1 MVP必須</t>
        </is>
      </c>
      <c r="C21" s="9" t="inlineStr">
        <is>
          <t>実装M2 計算エンジン</t>
        </is>
      </c>
      <c r="D21" s="10" t="inlineStr">
        <is>
          <t>人件費実績（日別）／月別</t>
        </is>
      </c>
      <c r="E21" s="10" t="inlineStr">
        <is>
          <t>EMP-001の5/8（S02・11h）を確認する</t>
        </is>
      </c>
      <c r="F21" s="10" t="inlineStr">
        <is>
          <t>按分額が実績給与×ヘルプ時間÷総労働時間と一致</t>
        </is>
      </c>
      <c r="G21" s="10" t="inlineStr">
        <is>
          <t>C-003 C-013</t>
        </is>
      </c>
      <c r="H21" s="10" t="inlineStr">
        <is>
          <t>操作で確認</t>
        </is>
      </c>
      <c r="I21" s="10" t="inlineStr">
        <is>
          <t>不可</t>
        </is>
      </c>
      <c r="J21" s="11" t="inlineStr"/>
      <c r="K21" s="11" t="inlineStr"/>
      <c r="L21" s="11" t="inlineStr"/>
      <c r="M21" s="11" t="inlineStr"/>
    </row>
    <row r="22">
      <c r="A22" s="9" t="inlineStr">
        <is>
          <t>AC-15</t>
        </is>
      </c>
      <c r="B22" s="9" t="inlineStr">
        <is>
          <t>L1 MVP必須</t>
        </is>
      </c>
      <c r="C22" s="9" t="inlineStr">
        <is>
          <t>実装M2 計算エンジン</t>
        </is>
      </c>
      <c r="D22" s="10" t="inlineStr">
        <is>
          <t>人件費実績（月別・日別）</t>
        </is>
      </c>
      <c r="E22" s="10" t="inlineStr">
        <is>
          <t>EMP-001（通勤18,000／S02=700・S03=900）を確認する</t>
        </is>
      </c>
      <c r="F22" s="10" t="inlineStr">
        <is>
          <t>実績給与に交通費を含まない／通勤は所属店舗・ヘルプ先は応援先に計上（店舗別合計100,000円）</t>
        </is>
      </c>
      <c r="G22" s="10" t="inlineStr">
        <is>
          <t>S-02 T-R04 C-017</t>
        </is>
      </c>
      <c r="H22" s="10" t="inlineStr">
        <is>
          <t>操作で確認</t>
        </is>
      </c>
      <c r="I22" s="10" t="inlineStr">
        <is>
          <t>不可</t>
        </is>
      </c>
      <c r="J22" s="11" t="inlineStr"/>
      <c r="K22" s="11" t="inlineStr"/>
      <c r="L22" s="11" t="inlineStr"/>
      <c r="M22" s="11" t="inlineStr"/>
    </row>
    <row r="23">
      <c r="A23" s="12" t="inlineStr">
        <is>
          <t>AC-16</t>
        </is>
      </c>
      <c r="B23" s="9" t="inlineStr">
        <is>
          <t>L0 リリース不可</t>
        </is>
      </c>
      <c r="C23" s="9" t="inlineStr">
        <is>
          <t>実装M3 締め</t>
        </is>
      </c>
      <c r="D23" s="10" t="inlineStr">
        <is>
          <t>人件費実績（月別）</t>
        </is>
      </c>
      <c r="E23" s="10" t="inlineStr">
        <is>
          <t>2026-05を締めた後、過去日の給与改定を保存し、勤怠も再取込する</t>
        </is>
      </c>
      <c r="F23" s="10" t="inlineStr">
        <is>
          <t>当月の実績給与・総労働時間の差分=0円</t>
        </is>
      </c>
      <c r="G23" s="10" t="inlineStr">
        <is>
          <t>T-S03 T-S04 C-008 R-02</t>
        </is>
      </c>
      <c r="H23" s="10" t="inlineStr">
        <is>
          <t>操作＋実装レビュー</t>
        </is>
      </c>
      <c r="I23" s="10" t="inlineStr">
        <is>
          <t>★中止</t>
        </is>
      </c>
      <c r="J23" s="11" t="inlineStr"/>
      <c r="K23" s="11" t="inlineStr"/>
      <c r="L23" s="11" t="inlineStr"/>
      <c r="M23" s="11" t="inlineStr"/>
    </row>
    <row r="24">
      <c r="A24" s="9" t="inlineStr">
        <is>
          <t>AC-17</t>
        </is>
      </c>
      <c r="B24" s="9" t="inlineStr">
        <is>
          <t>L1 MVP必須</t>
        </is>
      </c>
      <c r="C24" s="9" t="inlineStr">
        <is>
          <t>実装M3 締め</t>
        </is>
      </c>
      <c r="D24" s="10" t="inlineStr">
        <is>
          <t>人件費実績（月別）</t>
        </is>
      </c>
      <c r="E24" s="10" t="inlineStr">
        <is>
          <t>締めを解除する</t>
        </is>
      </c>
      <c r="F24" s="10" t="inlineStr">
        <is>
          <t>解除後の実績給与＝改定を反映した計算値（差分0円）</t>
        </is>
      </c>
      <c r="G24" s="10" t="inlineStr">
        <is>
          <t>T-S05</t>
        </is>
      </c>
      <c r="H24" s="10" t="inlineStr">
        <is>
          <t>操作で確認</t>
        </is>
      </c>
      <c r="I24" s="10" t="inlineStr">
        <is>
          <t>不可</t>
        </is>
      </c>
      <c r="J24" s="11" t="inlineStr"/>
      <c r="K24" s="11" t="inlineStr"/>
      <c r="L24" s="11" t="inlineStr"/>
      <c r="M24" s="11" t="inlineStr"/>
    </row>
    <row r="25">
      <c r="A25" s="9" t="inlineStr">
        <is>
          <t>AC-18</t>
        </is>
      </c>
      <c r="B25" s="9" t="inlineStr">
        <is>
          <t>L1 MVP必須</t>
        </is>
      </c>
      <c r="C25" s="9" t="inlineStr">
        <is>
          <t>実装M3 締め</t>
        </is>
      </c>
      <c r="D25" s="10" t="inlineStr">
        <is>
          <t>人件費実績</t>
        </is>
      </c>
      <c r="E25" s="10" t="inlineStr">
        <is>
          <t>月別実績タブと日別実績タブを開く</t>
        </is>
      </c>
      <c r="F25" s="10" t="inlineStr">
        <is>
          <t>日別タブでの表示=0</t>
        </is>
      </c>
      <c r="G25" s="10" t="inlineStr">
        <is>
          <t>T-S01</t>
        </is>
      </c>
      <c r="H25" s="10" t="inlineStr">
        <is>
          <t>操作で確認</t>
        </is>
      </c>
      <c r="I25" s="10" t="inlineStr">
        <is>
          <t>条件付きGo可</t>
        </is>
      </c>
      <c r="J25" s="11" t="inlineStr"/>
      <c r="K25" s="11" t="inlineStr"/>
      <c r="L25" s="11" t="inlineStr"/>
      <c r="M25" s="11" t="inlineStr"/>
    </row>
    <row r="26">
      <c r="A26" s="9" t="inlineStr">
        <is>
          <t>AC-19</t>
        </is>
      </c>
      <c r="B26" s="9" t="inlineStr">
        <is>
          <t>L1 MVP必須</t>
        </is>
      </c>
      <c r="C26" s="9" t="inlineStr">
        <is>
          <t>実装M3 締め</t>
        </is>
      </c>
      <c r="D26" s="10" t="inlineStr">
        <is>
          <t>人件費実績（月別）</t>
        </is>
      </c>
      <c r="E26" s="10" t="inlineStr">
        <is>
          <t>締め・締め解除をそれぞれ実行する</t>
        </is>
      </c>
      <c r="F26" s="10" t="inlineStr">
        <is>
          <t>確認モーダル=各1回</t>
        </is>
      </c>
      <c r="G26" s="10" t="inlineStr">
        <is>
          <t>T-S03 T-S05</t>
        </is>
      </c>
      <c r="H26" s="10" t="inlineStr">
        <is>
          <t>操作で確認</t>
        </is>
      </c>
      <c r="I26" s="10" t="inlineStr">
        <is>
          <t>条件付きGo可</t>
        </is>
      </c>
      <c r="J26" s="11" t="inlineStr"/>
      <c r="K26" s="11" t="inlineStr"/>
      <c r="L26" s="11" t="inlineStr"/>
      <c r="M26" s="11" t="inlineStr"/>
    </row>
    <row r="27">
      <c r="A27" s="9" t="inlineStr">
        <is>
          <t>AC-20</t>
        </is>
      </c>
      <c r="B27" s="9" t="inlineStr">
        <is>
          <t>L1 MVP必須</t>
        </is>
      </c>
      <c r="C27" s="9" t="inlineStr">
        <is>
          <t>実装M3 締め</t>
        </is>
      </c>
      <c r="D27" s="10" t="inlineStr">
        <is>
          <t>従業員詳細</t>
        </is>
      </c>
      <c r="E27" s="10" t="inlineStr">
        <is>
          <t>締め済み期間内の適用日付で保存を試みる</t>
        </is>
      </c>
      <c r="F27" s="10" t="inlineStr">
        <is>
          <t>警告なしの保存=0件</t>
        </is>
      </c>
      <c r="G27" s="10" t="inlineStr">
        <is>
          <t>T-D07</t>
        </is>
      </c>
      <c r="H27" s="10" t="inlineStr">
        <is>
          <t>操作で確認</t>
        </is>
      </c>
      <c r="I27" s="10" t="inlineStr">
        <is>
          <t>不可</t>
        </is>
      </c>
      <c r="J27" s="11" t="inlineStr"/>
      <c r="K27" s="11" t="inlineStr"/>
      <c r="L27" s="11" t="inlineStr"/>
      <c r="M27" s="11" t="inlineStr"/>
    </row>
    <row r="28">
      <c r="A28" s="9" t="inlineStr">
        <is>
          <t>AC-41</t>
        </is>
      </c>
      <c r="B28" s="9" t="inlineStr">
        <is>
          <t>L1 MVP必須</t>
        </is>
      </c>
      <c r="C28" s="9" t="inlineStr">
        <is>
          <t>実装M3 締め</t>
        </is>
      </c>
      <c r="D28" s="10" t="inlineStr">
        <is>
          <t>人件費実績（月別）</t>
        </is>
      </c>
      <c r="E28" s="10" t="inlineStr">
        <is>
          <t>店長スコープのアカウントで締めを試みる</t>
        </is>
      </c>
      <c r="F28" s="10" t="inlineStr">
        <is>
          <t>店長での締め実行=0件（ボタン非表示または拒否）</t>
        </is>
      </c>
      <c r="G28" s="10" t="inlineStr">
        <is>
          <t>T-S07 R-02</t>
        </is>
      </c>
      <c r="H28" s="10" t="inlineStr">
        <is>
          <t>操作＋実装レビュー</t>
        </is>
      </c>
      <c r="I28" s="10" t="inlineStr">
        <is>
          <t>不可</t>
        </is>
      </c>
      <c r="J28" s="11" t="inlineStr"/>
      <c r="K28" s="11" t="inlineStr"/>
      <c r="L28" s="11" t="inlineStr"/>
      <c r="M28" s="11" t="inlineStr"/>
    </row>
    <row r="29">
      <c r="A29" s="9" t="inlineStr">
        <is>
          <t>AC-21</t>
        </is>
      </c>
      <c r="B29" s="9" t="inlineStr">
        <is>
          <t>L1 MVP必須</t>
        </is>
      </c>
      <c r="C29" s="9" t="inlineStr">
        <is>
          <t>実装M4 画面・入出力</t>
        </is>
      </c>
      <c r="D29" s="10" t="inlineStr">
        <is>
          <t>設定インポート</t>
        </is>
      </c>
      <c r="E29" s="10" t="inlineStr">
        <is>
          <t>data/07（KOT・3行）を取り込む</t>
        </is>
      </c>
      <c r="F29" s="10" t="inlineStr">
        <is>
          <t>取込成功=3行</t>
        </is>
      </c>
      <c r="G29" s="10" t="inlineStr">
        <is>
          <t>T-I02 T-I03</t>
        </is>
      </c>
      <c r="H29" s="10" t="inlineStr">
        <is>
          <t>操作で確認</t>
        </is>
      </c>
      <c r="I29" s="10" t="inlineStr">
        <is>
          <t>不可</t>
        </is>
      </c>
      <c r="J29" s="11" t="inlineStr"/>
      <c r="K29" s="11" t="inlineStr"/>
      <c r="L29" s="11" t="inlineStr"/>
      <c r="M29" s="11" t="inlineStr"/>
    </row>
    <row r="30">
      <c r="A30" s="9" t="inlineStr">
        <is>
          <t>AC-22</t>
        </is>
      </c>
      <c r="B30" s="9" t="inlineStr">
        <is>
          <t>L1 MVP必須</t>
        </is>
      </c>
      <c r="C30" s="9" t="inlineStr">
        <is>
          <t>実装M4 画面・入出力</t>
        </is>
      </c>
      <c r="D30" s="10" t="inlineStr">
        <is>
          <t>設定インポート</t>
        </is>
      </c>
      <c r="E30" s="10" t="inlineStr">
        <is>
          <t>data/08（ジョブカン・3行）を取り込む</t>
        </is>
      </c>
      <c r="F30" s="10" t="inlineStr">
        <is>
          <t>取込成功=3行</t>
        </is>
      </c>
      <c r="G30" s="10" t="inlineStr">
        <is>
          <t>T-I04 R-05</t>
        </is>
      </c>
      <c r="H30" s="10" t="inlineStr">
        <is>
          <t>操作＋実装レビュー</t>
        </is>
      </c>
      <c r="I30" s="10" t="inlineStr">
        <is>
          <t>不可</t>
        </is>
      </c>
      <c r="J30" s="11" t="inlineStr"/>
      <c r="K30" s="11" t="inlineStr"/>
      <c r="L30" s="11" t="inlineStr"/>
      <c r="M30" s="11" t="inlineStr"/>
    </row>
    <row r="31">
      <c r="A31" s="9" t="inlineStr">
        <is>
          <t>AC-23</t>
        </is>
      </c>
      <c r="B31" s="9" t="inlineStr">
        <is>
          <t>L1 MVP必須</t>
        </is>
      </c>
      <c r="C31" s="9" t="inlineStr">
        <is>
          <t>実装M4 画面・入出力</t>
        </is>
      </c>
      <c r="D31" s="10" t="inlineStr">
        <is>
          <t>設定インポート</t>
        </is>
      </c>
      <c r="E31" s="10" t="inlineStr">
        <is>
          <t>data/09（異常4行）を取り込む</t>
        </is>
      </c>
      <c r="F31" s="10" t="inlineStr">
        <is>
          <t>4行すべて検出（見逃し=0）</t>
        </is>
      </c>
      <c r="G31" s="10" t="inlineStr">
        <is>
          <t>T-I05 R-03</t>
        </is>
      </c>
      <c r="H31" s="10" t="inlineStr">
        <is>
          <t>操作＋実装レビュー</t>
        </is>
      </c>
      <c r="I31" s="10" t="inlineStr">
        <is>
          <t>不可</t>
        </is>
      </c>
      <c r="J31" s="11" t="inlineStr"/>
      <c r="K31" s="11" t="inlineStr"/>
      <c r="L31" s="11" t="inlineStr"/>
      <c r="M31" s="11" t="inlineStr"/>
    </row>
    <row r="32">
      <c r="A32" s="9" t="inlineStr">
        <is>
          <t>AC-24</t>
        </is>
      </c>
      <c r="B32" s="9" t="inlineStr">
        <is>
          <t>L1 MVP必須</t>
        </is>
      </c>
      <c r="C32" s="9" t="inlineStr">
        <is>
          <t>実装M4 画面・入出力</t>
        </is>
      </c>
      <c r="D32" s="10" t="inlineStr">
        <is>
          <t>列マッピングテンプレート</t>
        </is>
      </c>
      <c r="E32" s="10" t="inlineStr">
        <is>
          <t>テンプレートを保存し、インポートで選択する</t>
        </is>
      </c>
      <c r="F32" s="10" t="inlineStr">
        <is>
          <t>保存済みテンプレート選択時の手入力=0項目。「全解除」で取込チェックが一括で外れる</t>
        </is>
      </c>
      <c r="G32" s="10" t="inlineStr">
        <is>
          <t>T-I09 R-05</t>
        </is>
      </c>
      <c r="H32" s="10" t="inlineStr">
        <is>
          <t>操作＋実装レビュー</t>
        </is>
      </c>
      <c r="I32" s="10" t="inlineStr">
        <is>
          <t>条件付きGo可</t>
        </is>
      </c>
      <c r="J32" s="11" t="inlineStr"/>
      <c r="K32" s="11" t="inlineStr"/>
      <c r="L32" s="11" t="inlineStr"/>
      <c r="M32" s="11" t="inlineStr"/>
    </row>
    <row r="33">
      <c r="A33" s="9" t="inlineStr">
        <is>
          <t>AC-25</t>
        </is>
      </c>
      <c r="B33" s="9" t="inlineStr">
        <is>
          <t>L1 MVP必須</t>
        </is>
      </c>
      <c r="C33" s="9" t="inlineStr">
        <is>
          <t>実装M4 画面・入出力</t>
        </is>
      </c>
      <c r="D33" s="10" t="inlineStr">
        <is>
          <t>設定・実績エクスポート</t>
        </is>
      </c>
      <c r="E33" s="10" t="inlineStr">
        <is>
          <t>項目を3つだけ選んで出力する</t>
        </is>
      </c>
      <c r="F33" s="10" t="inlineStr">
        <is>
          <t>出力の列＝チェックした項目（過不足=0列）</t>
        </is>
      </c>
      <c r="G33" s="10" t="inlineStr">
        <is>
          <t>T-E04 T-E09</t>
        </is>
      </c>
      <c r="H33" s="10" t="inlineStr">
        <is>
          <t>操作で確認</t>
        </is>
      </c>
      <c r="I33" s="10" t="inlineStr">
        <is>
          <t>不可</t>
        </is>
      </c>
      <c r="J33" s="11" t="inlineStr"/>
      <c r="K33" s="11" t="inlineStr"/>
      <c r="L33" s="11" t="inlineStr"/>
      <c r="M33" s="11" t="inlineStr"/>
    </row>
    <row r="34">
      <c r="A34" s="9" t="inlineStr">
        <is>
          <t>AC-26</t>
        </is>
      </c>
      <c r="B34" s="9" t="inlineStr">
        <is>
          <t>L1 MVP必須</t>
        </is>
      </c>
      <c r="C34" s="9" t="inlineStr">
        <is>
          <t>実装M4 画面・入出力</t>
        </is>
      </c>
      <c r="D34" s="10" t="inlineStr">
        <is>
          <t>設定・実績エクスポート</t>
        </is>
      </c>
      <c r="E34" s="10" t="inlineStr">
        <is>
          <t>従業員設定＋給与設定を両方選んで出力する</t>
        </is>
      </c>
      <c r="F34" s="10" t="inlineStr">
        <is>
          <t>ファイル数=2</t>
        </is>
      </c>
      <c r="G34" s="10" t="inlineStr">
        <is>
          <t>T-E04</t>
        </is>
      </c>
      <c r="H34" s="10" t="inlineStr">
        <is>
          <t>操作で確認</t>
        </is>
      </c>
      <c r="I34" s="10" t="inlineStr">
        <is>
          <t>条件付きGo可</t>
        </is>
      </c>
      <c r="J34" s="11" t="inlineStr"/>
      <c r="K34" s="11" t="inlineStr"/>
      <c r="L34" s="11" t="inlineStr"/>
      <c r="M34" s="11" t="inlineStr"/>
    </row>
    <row r="35">
      <c r="A35" s="9" t="inlineStr">
        <is>
          <t>AC-27</t>
        </is>
      </c>
      <c r="B35" s="9" t="inlineStr">
        <is>
          <t>L1 MVP必須</t>
        </is>
      </c>
      <c r="C35" s="9" t="inlineStr">
        <is>
          <t>実装M4 画面・入出力</t>
        </is>
      </c>
      <c r="D35" s="10" t="inlineStr">
        <is>
          <t>設定・実績エクスポート</t>
        </is>
      </c>
      <c r="E35" s="10" t="inlineStr">
        <is>
          <t>種別・対象・項目を未選択のまま出力する</t>
        </is>
      </c>
      <c r="F35" s="10" t="inlineStr">
        <is>
          <t>未選択での出力=0件</t>
        </is>
      </c>
      <c r="G35" s="10" t="inlineStr">
        <is>
          <t>T-E07</t>
        </is>
      </c>
      <c r="H35" s="10" t="inlineStr">
        <is>
          <t>操作で確認</t>
        </is>
      </c>
      <c r="I35" s="10" t="inlineStr">
        <is>
          <t>条件付きGo可</t>
        </is>
      </c>
      <c r="J35" s="11" t="inlineStr"/>
      <c r="K35" s="11" t="inlineStr"/>
      <c r="L35" s="11" t="inlineStr"/>
      <c r="M35" s="11" t="inlineStr"/>
    </row>
    <row r="36">
      <c r="A36" s="9" t="inlineStr">
        <is>
          <t>AC-28</t>
        </is>
      </c>
      <c r="B36" s="9" t="inlineStr">
        <is>
          <t>L1 MVP必須</t>
        </is>
      </c>
      <c r="C36" s="9" t="inlineStr">
        <is>
          <t>実装M4 画面・入出力</t>
        </is>
      </c>
      <c r="D36" s="10" t="inlineStr">
        <is>
          <t>設定・実績エクスポート</t>
        </is>
      </c>
      <c r="E36" s="10" t="inlineStr">
        <is>
          <t>出力したCSVをExcelで開く</t>
        </is>
      </c>
      <c r="F36" s="10" t="inlineStr">
        <is>
          <t>文字化け=0箇所</t>
        </is>
      </c>
      <c r="G36" s="10" t="inlineStr">
        <is>
          <t>T-E07</t>
        </is>
      </c>
      <c r="H36" s="10" t="inlineStr">
        <is>
          <t>操作で確認</t>
        </is>
      </c>
      <c r="I36" s="10" t="inlineStr">
        <is>
          <t>不可</t>
        </is>
      </c>
      <c r="J36" s="11" t="inlineStr"/>
      <c r="K36" s="11" t="inlineStr"/>
      <c r="L36" s="11" t="inlineStr"/>
      <c r="M36" s="11" t="inlineStr"/>
    </row>
    <row r="37">
      <c r="A37" s="9" t="inlineStr">
        <is>
          <t>AC-29</t>
        </is>
      </c>
      <c r="B37" s="9" t="inlineStr">
        <is>
          <t>L1 MVP必須</t>
        </is>
      </c>
      <c r="C37" s="9" t="inlineStr">
        <is>
          <t>実装M4 画面・入出力</t>
        </is>
      </c>
      <c r="D37" s="10" t="inlineStr">
        <is>
          <t>サイドバー</t>
        </is>
      </c>
      <c r="E37" s="10" t="inlineStr">
        <is>
          <t>PC（ホバー）とモバイル（アコーディオン）で開く</t>
        </is>
      </c>
      <c r="F37" s="10" t="inlineStr">
        <is>
          <t>欠落=0</t>
        </is>
      </c>
      <c r="G37" s="10" t="inlineStr">
        <is>
          <t>T-Z04</t>
        </is>
      </c>
      <c r="H37" s="10" t="inlineStr">
        <is>
          <t>操作で確認</t>
        </is>
      </c>
      <c r="I37" s="10" t="inlineStr">
        <is>
          <t>不可</t>
        </is>
      </c>
      <c r="J37" s="11" t="inlineStr"/>
      <c r="K37" s="11" t="inlineStr"/>
      <c r="L37" s="11" t="inlineStr"/>
      <c r="M37" s="11" t="inlineStr"/>
    </row>
    <row r="38">
      <c r="A38" s="9" t="inlineStr">
        <is>
          <t>AC-30</t>
        </is>
      </c>
      <c r="B38" s="9" t="inlineStr">
        <is>
          <t>L1 MVP必須</t>
        </is>
      </c>
      <c r="C38" s="9" t="inlineStr">
        <is>
          <t>実装M4 画面・入出力</t>
        </is>
      </c>
      <c r="D38" s="10" t="inlineStr">
        <is>
          <t>全画面</t>
        </is>
      </c>
      <c r="E38" s="10" t="inlineStr">
        <is>
          <t>仕様書 第2部の遷移75本を順に押す</t>
        </is>
      </c>
      <c r="F38" s="10" t="inlineStr">
        <is>
          <t>不通=0</t>
        </is>
      </c>
      <c r="G38" s="10" t="inlineStr">
        <is>
          <t>T-D08 T-E04 T-H04 T-I02 T-I09 T-L06 T-N03 T-R07 T-Z05</t>
        </is>
      </c>
      <c r="H38" s="10" t="inlineStr">
        <is>
          <t>操作で確認</t>
        </is>
      </c>
      <c r="I38" s="10" t="inlineStr">
        <is>
          <t>不可</t>
        </is>
      </c>
      <c r="J38" s="11" t="inlineStr"/>
      <c r="K38" s="11" t="inlineStr"/>
      <c r="L38" s="11" t="inlineStr"/>
      <c r="M38" s="11" t="inlineStr"/>
    </row>
    <row r="39">
      <c r="A39" s="9" t="inlineStr">
        <is>
          <t>AC-33</t>
        </is>
      </c>
      <c r="B39" s="9" t="inlineStr">
        <is>
          <t>L1 MVP必須</t>
        </is>
      </c>
      <c r="C39" s="9" t="inlineStr">
        <is>
          <t>実装M4 画面・入出力</t>
        </is>
      </c>
      <c r="D39" s="10" t="inlineStr">
        <is>
          <t>従業員一覧／設定履歴</t>
        </is>
      </c>
      <c r="E39" s="10" t="inlineStr">
        <is>
          <t>店舗・雇用区分・名前・月・取込データで絞り込む</t>
        </is>
      </c>
      <c r="F39" s="10" t="inlineStr">
        <is>
          <t>各条件で絞り込みが効く（無反応=0）</t>
        </is>
      </c>
      <c r="G39" s="10" t="inlineStr">
        <is>
          <t>T-H04 T-L08</t>
        </is>
      </c>
      <c r="H39" s="10" t="inlineStr">
        <is>
          <t>操作で確認</t>
        </is>
      </c>
      <c r="I39" s="10" t="inlineStr">
        <is>
          <t>条件付きGo可</t>
        </is>
      </c>
      <c r="J39" s="11" t="inlineStr"/>
      <c r="K39" s="11" t="inlineStr"/>
      <c r="L39" s="11" t="inlineStr"/>
      <c r="M39" s="11" t="inlineStr"/>
    </row>
    <row r="40">
      <c r="A40" s="9" t="inlineStr">
        <is>
          <t>AC-34</t>
        </is>
      </c>
      <c r="B40" s="9" t="inlineStr">
        <is>
          <t>L1 MVP必須</t>
        </is>
      </c>
      <c r="C40" s="9" t="inlineStr">
        <is>
          <t>実装M4 画面・入出力</t>
        </is>
      </c>
      <c r="D40" s="10" t="inlineStr">
        <is>
          <t>従業員一覧／従業員詳細</t>
        </is>
      </c>
      <c r="E40" s="10" t="inlineStr">
        <is>
          <t>削除アイコン・従業員削除で、キャンセルと実行の両方を試す</t>
        </is>
      </c>
      <c r="F40" s="10" t="inlineStr">
        <is>
          <t>確認なしの削除=0件、キャンセル時の削除=0件</t>
        </is>
      </c>
      <c r="G40" s="10" t="inlineStr">
        <is>
          <t>T-D08 T-L10</t>
        </is>
      </c>
      <c r="H40" s="10" t="inlineStr">
        <is>
          <t>操作で確認</t>
        </is>
      </c>
      <c r="I40" s="10" t="inlineStr">
        <is>
          <t>不可</t>
        </is>
      </c>
      <c r="J40" s="11" t="inlineStr"/>
      <c r="K40" s="11" t="inlineStr"/>
      <c r="L40" s="11" t="inlineStr"/>
      <c r="M40" s="11" t="inlineStr"/>
    </row>
    <row r="41">
      <c r="A41" s="9" t="inlineStr">
        <is>
          <t>AC-35</t>
        </is>
      </c>
      <c r="B41" s="9" t="inlineStr">
        <is>
          <t>L1 MVP必須</t>
        </is>
      </c>
      <c r="C41" s="9" t="inlineStr">
        <is>
          <t>実装M4 画面・入出力</t>
        </is>
      </c>
      <c r="D41" s="10" t="inlineStr">
        <is>
          <t>従業員詳細（給与実績）</t>
        </is>
      </c>
      <c r="E41" s="10" t="inlineStr">
        <is>
          <t>詳細の月次・日次と人件費実績を並べて突合する</t>
        </is>
      </c>
      <c r="F41" s="10" t="inlineStr">
        <is>
          <t>同一従業員・同一月で差分=0円</t>
        </is>
      </c>
      <c r="G41" s="10" t="inlineStr">
        <is>
          <t>T-D09 R-04</t>
        </is>
      </c>
      <c r="H41" s="10" t="inlineStr">
        <is>
          <t>操作＋実装レビュー</t>
        </is>
      </c>
      <c r="I41" s="10" t="inlineStr">
        <is>
          <t>条件付きGo可</t>
        </is>
      </c>
      <c r="J41" s="11" t="inlineStr"/>
      <c r="K41" s="11" t="inlineStr"/>
      <c r="L41" s="11" t="inlineStr"/>
      <c r="M41" s="11" t="inlineStr"/>
    </row>
    <row r="42">
      <c r="A42" s="9" t="inlineStr">
        <is>
          <t>AC-36</t>
        </is>
      </c>
      <c r="B42" s="9" t="inlineStr">
        <is>
          <t>L1 MVP必須</t>
        </is>
      </c>
      <c r="C42" s="9" t="inlineStr">
        <is>
          <t>実装M4 画面・入出力</t>
        </is>
      </c>
      <c r="D42" s="10" t="inlineStr">
        <is>
          <t>人件費実績／設定履歴／従業員詳細</t>
        </is>
      </c>
      <c r="E42" s="10" t="inlineStr">
        <is>
          <t>フィルタを適用した状態でCSV出力する</t>
        </is>
      </c>
      <c r="F42" s="10" t="inlineStr">
        <is>
          <t>出力の行・列＝画面の表示（差分0）</t>
        </is>
      </c>
      <c r="G42" s="10" t="inlineStr">
        <is>
          <t>T-A07 T-D09 T-H04</t>
        </is>
      </c>
      <c r="H42" s="10" t="inlineStr">
        <is>
          <t>操作で確認</t>
        </is>
      </c>
      <c r="I42" s="10" t="inlineStr">
        <is>
          <t>条件付きGo可</t>
        </is>
      </c>
      <c r="J42" s="11" t="inlineStr"/>
      <c r="K42" s="11" t="inlineStr"/>
      <c r="L42" s="11" t="inlineStr"/>
      <c r="M42" s="11" t="inlineStr"/>
    </row>
    <row r="43">
      <c r="A43" s="9" t="inlineStr">
        <is>
          <t>AC-37</t>
        </is>
      </c>
      <c r="B43" s="9" t="inlineStr">
        <is>
          <t>L1 MVP必須</t>
        </is>
      </c>
      <c r="C43" s="9" t="inlineStr">
        <is>
          <t>実装M4 画面・入出力</t>
        </is>
      </c>
      <c r="D43" s="10" t="inlineStr">
        <is>
          <t>設定インポート</t>
        </is>
      </c>
      <c r="E43" s="10" t="inlineStr">
        <is>
          <t>先頭に説明行が2行あるCSVを取り込む</t>
        </is>
      </c>
      <c r="F43" s="10" t="inlineStr">
        <is>
          <t>取込成功=全行</t>
        </is>
      </c>
      <c r="G43" s="10" t="inlineStr">
        <is>
          <t>T-I11</t>
        </is>
      </c>
      <c r="H43" s="10" t="inlineStr">
        <is>
          <t>操作で確認</t>
        </is>
      </c>
      <c r="I43" s="10" t="inlineStr">
        <is>
          <t>条件付きGo可</t>
        </is>
      </c>
      <c r="J43" s="11" t="inlineStr"/>
      <c r="K43" s="11" t="inlineStr"/>
      <c r="L43" s="11" t="inlineStr"/>
      <c r="M43" s="11" t="inlineStr"/>
    </row>
    <row r="44">
      <c r="A44" s="9" t="inlineStr">
        <is>
          <t>AC-39</t>
        </is>
      </c>
      <c r="B44" s="9" t="inlineStr">
        <is>
          <t>L1 MVP必須</t>
        </is>
      </c>
      <c r="C44" s="9" t="inlineStr">
        <is>
          <t>実装M4 画面・入出力</t>
        </is>
      </c>
      <c r="D44" s="10" t="inlineStr">
        <is>
          <t>設定取込データ／実績取込データ</t>
        </is>
      </c>
      <c r="E44" s="10" t="inlineStr">
        <is>
          <t>取込後に画面を開く</t>
        </is>
      </c>
      <c r="F44" s="10" t="inlineStr">
        <is>
          <t>設定・実績とも参照可能</t>
        </is>
      </c>
      <c r="G44" s="10" t="inlineStr">
        <is>
          <t>T-N01</t>
        </is>
      </c>
      <c r="H44" s="10" t="inlineStr">
        <is>
          <t>操作で確認</t>
        </is>
      </c>
      <c r="I44" s="10" t="inlineStr">
        <is>
          <t>条件付きGo可</t>
        </is>
      </c>
      <c r="J44" s="11" t="inlineStr"/>
      <c r="K44" s="11" t="inlineStr"/>
      <c r="L44" s="11" t="inlineStr"/>
      <c r="M44" s="11" t="inlineStr"/>
    </row>
    <row r="45">
      <c r="A45" s="9" t="inlineStr">
        <is>
          <t>AC-42</t>
        </is>
      </c>
      <c r="B45" s="9" t="inlineStr">
        <is>
          <t>L1 MVP必須</t>
        </is>
      </c>
      <c r="C45" s="9" t="inlineStr">
        <is>
          <t>実装M4 画面・入出力</t>
        </is>
      </c>
      <c r="D45" s="10" t="inlineStr">
        <is>
          <t>設定インポート</t>
        </is>
      </c>
      <c r="E45" s="10" t="inlineStr">
        <is>
          <t>異常行を含むCSVを取り込み、取込後の一覧と履歴を確認する</t>
        </is>
      </c>
      <c r="F45" s="10" t="inlineStr">
        <is>
          <t>部分登録の残存=0件</t>
        </is>
      </c>
      <c r="G45" s="10" t="inlineStr">
        <is>
          <t>T-I18 R-03</t>
        </is>
      </c>
      <c r="H45" s="10" t="inlineStr">
        <is>
          <t>操作＋実装レビュー</t>
        </is>
      </c>
      <c r="I45" s="10" t="inlineStr">
        <is>
          <t>不可</t>
        </is>
      </c>
      <c r="J45" s="11" t="inlineStr"/>
      <c r="K45" s="11" t="inlineStr"/>
      <c r="L45" s="11" t="inlineStr"/>
      <c r="M45" s="11" t="inlineStr"/>
    </row>
    <row r="46">
      <c r="A46" s="9" t="inlineStr">
        <is>
          <t>AC-43</t>
        </is>
      </c>
      <c r="B46" s="9" t="inlineStr">
        <is>
          <t>L1 MVP必須</t>
        </is>
      </c>
      <c r="C46" s="9" t="inlineStr">
        <is>
          <t>実装M4 画面・入出力</t>
        </is>
      </c>
      <c r="D46" s="10" t="inlineStr">
        <is>
          <t>従業員登録</t>
        </is>
      </c>
      <c r="E46" s="10" t="inlineStr">
        <is>
          <t>必須項目を個別に空にして登録する</t>
        </is>
      </c>
      <c r="F46" s="10" t="inlineStr">
        <is>
          <t>未入力での登録成功=0件、遷移=0件</t>
        </is>
      </c>
      <c r="G46" s="10" t="inlineStr">
        <is>
          <t>T-R10 R-03</t>
        </is>
      </c>
      <c r="H46" s="10" t="inlineStr">
        <is>
          <t>操作＋実装レビュー</t>
        </is>
      </c>
      <c r="I46" s="10" t="inlineStr">
        <is>
          <t>不可</t>
        </is>
      </c>
      <c r="J46" s="11" t="inlineStr"/>
      <c r="K46" s="11" t="inlineStr"/>
      <c r="L46" s="11" t="inlineStr"/>
      <c r="M46" s="11" t="inlineStr"/>
    </row>
    <row r="47">
      <c r="A47" s="12" t="inlineStr">
        <is>
          <t>AC-01</t>
        </is>
      </c>
      <c r="B47" s="9" t="inlineStr">
        <is>
          <t>L0 リリース不可</t>
        </is>
      </c>
      <c r="C47" s="9" t="inlineStr">
        <is>
          <t>実装M5 移行</t>
        </is>
      </c>
      <c r="D47" s="10" t="inlineStr">
        <is>
          <t>従業員一覧</t>
        </is>
      </c>
      <c r="E47" s="10" t="inlineStr">
        <is>
          <t>移行を実施し、移行前後の一覧をCSVで突合する</t>
        </is>
      </c>
      <c r="F47" s="10" t="inlineStr">
        <is>
          <t>件数の増減=0／12項目の差分=0</t>
        </is>
      </c>
      <c r="G47" s="10" t="inlineStr">
        <is>
          <t>T-L01 T-Z01 T-Z05</t>
        </is>
      </c>
      <c r="H47" s="10" t="inlineStr">
        <is>
          <t>操作で確認</t>
        </is>
      </c>
      <c r="I47" s="10" t="inlineStr">
        <is>
          <t>★中止</t>
        </is>
      </c>
      <c r="J47" s="11" t="inlineStr"/>
      <c r="K47" s="11" t="inlineStr"/>
      <c r="L47" s="11" t="inlineStr"/>
      <c r="M47" s="11" t="inlineStr"/>
    </row>
    <row r="48">
      <c r="A48" s="12" t="inlineStr">
        <is>
          <t>AC-03</t>
        </is>
      </c>
      <c r="B48" s="9" t="inlineStr">
        <is>
          <t>L0 リリース不可</t>
        </is>
      </c>
      <c r="C48" s="9" t="inlineStr">
        <is>
          <t>実装M5 移行</t>
        </is>
      </c>
      <c r="D48" s="10" t="inlineStr">
        <is>
          <t>人件費実績（月別）</t>
        </is>
      </c>
      <c r="E48" s="10" t="inlineStr">
        <is>
          <t>移行前後に直近3か月の人件費をCSV出力して突合する</t>
        </is>
      </c>
      <c r="F48" s="10" t="inlineStr">
        <is>
          <t>3か月とも差分=0円</t>
        </is>
      </c>
      <c r="G48" s="10" t="inlineStr">
        <is>
          <t>T-Z01</t>
        </is>
      </c>
      <c r="H48" s="10" t="inlineStr">
        <is>
          <t>操作で確認</t>
        </is>
      </c>
      <c r="I48" s="10" t="inlineStr">
        <is>
          <t>★中止</t>
        </is>
      </c>
      <c r="J48" s="11" t="inlineStr"/>
      <c r="K48" s="11" t="inlineStr"/>
      <c r="L48" s="11" t="inlineStr"/>
      <c r="M48" s="11" t="inlineStr"/>
    </row>
    <row r="49">
      <c r="A49" s="9" t="inlineStr">
        <is>
          <t>AC-31</t>
        </is>
      </c>
      <c r="B49" s="9" t="inlineStr">
        <is>
          <t>L2 次段階</t>
        </is>
      </c>
      <c r="C49" s="9" t="inlineStr">
        <is>
          <t>（次リリース）</t>
        </is>
      </c>
      <c r="D49" s="10" t="inlineStr">
        <is>
          <t>人件費実績／従業員詳細</t>
        </is>
      </c>
      <c r="E49" s="10" t="inlineStr">
        <is>
          <t>実績モードにして他画面を開く</t>
        </is>
      </c>
      <c r="F49" s="10" t="inlineStr">
        <is>
          <t>他画面の表示モードが変わらない</t>
        </is>
      </c>
      <c r="G49" s="10" t="inlineStr">
        <is>
          <t>T-A02</t>
        </is>
      </c>
      <c r="H49" s="10" t="inlineStr">
        <is>
          <t>操作で確認</t>
        </is>
      </c>
      <c r="I49" s="10" t="inlineStr">
        <is>
          <t>影響なし</t>
        </is>
      </c>
      <c r="J49" s="11" t="inlineStr"/>
      <c r="K49" s="11" t="inlineStr"/>
      <c r="L49" s="11" t="inlineStr"/>
      <c r="M49" s="11" t="inlineStr"/>
    </row>
    <row r="50">
      <c r="A50" s="9" t="inlineStr">
        <is>
          <t>AC-32</t>
        </is>
      </c>
      <c r="B50" s="9" t="inlineStr">
        <is>
          <t>L2 次段階</t>
        </is>
      </c>
      <c r="C50" s="9" t="inlineStr">
        <is>
          <t>（次リリース）</t>
        </is>
      </c>
      <c r="D50" s="10" t="inlineStr">
        <is>
          <t>人件費実績（月別）</t>
        </is>
      </c>
      <c r="E50" s="10" t="inlineStr">
        <is>
          <t>設定が欠けた従業員がいる状態で締める</t>
        </is>
      </c>
      <c r="F50" s="10" t="inlineStr">
        <is>
          <t>警告表示=1回</t>
        </is>
      </c>
      <c r="G50" s="10" t="inlineStr">
        <is>
          <t>T-S03</t>
        </is>
      </c>
      <c r="H50" s="10" t="inlineStr">
        <is>
          <t>操作で確認</t>
        </is>
      </c>
      <c r="I50" s="10" t="inlineStr">
        <is>
          <t>影響なし</t>
        </is>
      </c>
      <c r="J50" s="11" t="inlineStr"/>
      <c r="K50" s="11" t="inlineStr"/>
      <c r="L50" s="11" t="inlineStr"/>
      <c r="M50" s="11" t="inlineStr"/>
    </row>
    <row r="51">
      <c r="A51" s="9" t="inlineStr">
        <is>
          <t>AC-38</t>
        </is>
      </c>
      <c r="B51" s="9" t="inlineStr">
        <is>
          <t>L2 次段階</t>
        </is>
      </c>
      <c r="C51" s="9" t="inlineStr">
        <is>
          <t>（次リリース）</t>
        </is>
      </c>
      <c r="D51" s="10" t="inlineStr">
        <is>
          <t>列マッピングテンプレート</t>
        </is>
      </c>
      <c r="E51" s="10" t="inlineStr">
        <is>
          <t>テンプレートを編集・削除し、マッピング表を一括登録する</t>
        </is>
      </c>
      <c r="F51" s="10" t="inlineStr">
        <is>
          <t>いずれも成功（失敗=0）</t>
        </is>
      </c>
      <c r="G51" s="10" t="inlineStr">
        <is>
          <t>T-I09</t>
        </is>
      </c>
      <c r="H51" s="10" t="inlineStr">
        <is>
          <t>操作で確認</t>
        </is>
      </c>
      <c r="I51" s="10" t="inlineStr">
        <is>
          <t>影響なし</t>
        </is>
      </c>
      <c r="J51" s="11" t="inlineStr"/>
      <c r="K51" s="11" t="inlineStr"/>
      <c r="L51" s="11" t="inlineStr"/>
      <c r="M51" s="11" t="inlineStr"/>
    </row>
    <row r="52">
      <c r="A52" s="9" t="inlineStr">
        <is>
          <t>AC-44</t>
        </is>
      </c>
      <c r="B52" s="9" t="inlineStr">
        <is>
          <t>L2 次段階</t>
        </is>
      </c>
      <c r="C52" s="9" t="inlineStr">
        <is>
          <t>（次リリース）</t>
        </is>
      </c>
      <c r="D52" s="10" t="inlineStr">
        <is>
          <t>人件費実績（月別）</t>
        </is>
      </c>
      <c r="E52" s="10" t="inlineStr">
        <is>
          <t>2セッションから同時に締める</t>
        </is>
      </c>
      <c r="F52" s="10" t="inlineStr">
        <is>
          <t>不整合=0件</t>
        </is>
      </c>
      <c r="G52" s="10" t="inlineStr">
        <is>
          <t>-</t>
        </is>
      </c>
      <c r="H52" s="10" t="inlineStr">
        <is>
          <t>操作で確認</t>
        </is>
      </c>
      <c r="I52" s="10" t="inlineStr">
        <is>
          <t>影響なし</t>
        </is>
      </c>
      <c r="J52" s="11" t="inlineStr"/>
      <c r="K52" s="11" t="inlineStr"/>
      <c r="L52" s="11" t="inlineStr"/>
      <c r="M52" s="11" t="inlineStr"/>
    </row>
    <row r="53">
      <c r="A53" s="9" t="inlineStr">
        <is>
          <t>AC-45</t>
        </is>
      </c>
      <c r="B53" s="9" t="inlineStr">
        <is>
          <t>L2 次段階</t>
        </is>
      </c>
      <c r="C53" s="9" t="inlineStr">
        <is>
          <t>（次リリース）</t>
        </is>
      </c>
      <c r="D53" s="10" t="inlineStr">
        <is>
          <t>人件費実績（月別）</t>
        </is>
      </c>
      <c r="E53" s="10" t="inlineStr">
        <is>
          <t>締め解除を実行する</t>
        </is>
      </c>
      <c r="F53" s="10" t="inlineStr">
        <is>
          <t>解除の記録=1件/回</t>
        </is>
      </c>
      <c r="G53" s="10" t="inlineStr">
        <is>
          <t>-</t>
        </is>
      </c>
      <c r="H53" s="10" t="inlineStr">
        <is>
          <t>操作で確認</t>
        </is>
      </c>
      <c r="I53" s="10" t="inlineStr">
        <is>
          <t>影響なし</t>
        </is>
      </c>
      <c r="J53" s="11" t="inlineStr"/>
      <c r="K53" s="11" t="inlineStr"/>
      <c r="L53" s="11" t="inlineStr"/>
      <c r="M53" s="11" t="inlineStr"/>
    </row>
    <row r="54">
      <c r="A54" s="9" t="inlineStr">
        <is>
          <t>AC-46</t>
        </is>
      </c>
      <c r="B54" s="9" t="inlineStr">
        <is>
          <t>L2 次段階</t>
        </is>
      </c>
      <c r="C54" s="9" t="inlineStr">
        <is>
          <t>（次リリース）</t>
        </is>
      </c>
      <c r="D54" s="10" t="inlineStr">
        <is>
          <t>従業員一覧／設定インポート</t>
        </is>
      </c>
      <c r="E54" s="10" t="inlineStr">
        <is>
          <t>50名規模のデータで表示・取込を行う</t>
        </is>
      </c>
      <c r="F54" s="10" t="inlineStr">
        <is>
          <t>実務上支障のない時間</t>
        </is>
      </c>
      <c r="G54" s="10" t="inlineStr">
        <is>
          <t>-</t>
        </is>
      </c>
      <c r="H54" s="10" t="inlineStr">
        <is>
          <t>操作で確認</t>
        </is>
      </c>
      <c r="I54" s="10" t="inlineStr">
        <is>
          <t>影響なし</t>
        </is>
      </c>
      <c r="J54" s="11" t="inlineStr"/>
      <c r="K54" s="11" t="inlineStr"/>
      <c r="L54" s="11" t="inlineStr"/>
      <c r="M54" s="11" t="inlineStr"/>
    </row>
    <row r="55">
      <c r="A55" s="9" t="inlineStr">
        <is>
          <t>AC-48</t>
        </is>
      </c>
      <c r="B55" s="9" t="inlineStr">
        <is>
          <t>L1 MVP必須</t>
        </is>
      </c>
      <c r="C55" s="9" t="inlineStr">
        <is>
          <t>実装M2 計算エンジン</t>
        </is>
      </c>
      <c r="D55" s="10" t="inlineStr">
        <is>
          <t>人件費実績</t>
        </is>
      </c>
      <c r="E55" s="10" t="inlineStr">
        <is>
          <t>「実績データ取込」で勤怠実績が取り込まれ、人件費実績に反映されること</t>
        </is>
      </c>
      <c r="F55" s="10" t="inlineStr">
        <is>
          <t>取込後に実績モードの金額が表示される（未反映=0件）。取込中は画面を操作できない</t>
        </is>
      </c>
      <c r="G55" s="10" t="inlineStr">
        <is>
          <t>T-A08</t>
        </is>
      </c>
      <c r="H55" s="10" t="inlineStr">
        <is>
          <t>操作で確認</t>
        </is>
      </c>
      <c r="I55" s="10" t="inlineStr">
        <is>
          <t>不可</t>
        </is>
      </c>
      <c r="J55" s="11" t="inlineStr"/>
      <c r="K55" s="11" t="inlineStr"/>
      <c r="L55" s="11" t="inlineStr"/>
      <c r="M55" s="11" t="inlineStr"/>
    </row>
    <row r="56">
      <c r="A56" s="9" t="inlineStr">
        <is>
          <t>AC-49</t>
        </is>
      </c>
      <c r="B56" s="9" t="inlineStr">
        <is>
          <t>L1 MVP必須</t>
        </is>
      </c>
      <c r="C56" s="9" t="inlineStr">
        <is>
          <t>実装M1 データ基盤</t>
        </is>
      </c>
      <c r="D56" s="10" t="inlineStr">
        <is>
          <t>人件費実績（設定編集モーダル）／従業員詳細</t>
        </is>
      </c>
      <c r="E56" s="10" t="inlineStr">
        <is>
          <t>どの入口から設定を編集しても、適用日付と設定変更履歴が同じように記録されること</t>
        </is>
      </c>
      <c r="F56" s="10" t="inlineStr">
        <is>
          <t>モーダル経由・詳細経由のどちらでも履歴が1行増える（記録されない編集=0件）。変更ソースも記録される</t>
        </is>
      </c>
      <c r="G56" s="10" t="inlineStr">
        <is>
          <t>T-A09 R-06</t>
        </is>
      </c>
      <c r="H56" s="10" t="inlineStr">
        <is>
          <t>操作＋実装レビュー</t>
        </is>
      </c>
      <c r="I56" s="10" t="inlineStr">
        <is>
          <t>不可</t>
        </is>
      </c>
      <c r="J56" s="11" t="inlineStr"/>
      <c r="K56" s="11" t="inlineStr"/>
      <c r="L56" s="11" t="inlineStr"/>
      <c r="M56" s="11" t="inlineStr"/>
    </row>
    <row r="57">
      <c r="A57" s="9" t="inlineStr">
        <is>
          <t>AC-50</t>
        </is>
      </c>
      <c r="B57" s="9" t="inlineStr">
        <is>
          <t>L1 MVP必須</t>
        </is>
      </c>
      <c r="C57" s="9" t="inlineStr">
        <is>
          <t>実装M4 画面・入出力</t>
        </is>
      </c>
      <c r="D57" s="10" t="inlineStr">
        <is>
          <t>設定取込データ／実績取込データ</t>
        </is>
      </c>
      <c r="E57" s="10" t="inlineStr">
        <is>
          <t>取り込む前に、内容のプレビューと前回との差分を確認できること</t>
        </is>
      </c>
      <c r="F57" s="10" t="inlineStr">
        <is>
          <t>プレビューで取込内容が表示される。前回差分で「前回◯◯→新規◯◯」の形式で差が表示される（差分が出ない=0件）</t>
        </is>
      </c>
      <c r="G57" s="10" t="inlineStr">
        <is>
          <t>T-N02</t>
        </is>
      </c>
      <c r="H57" s="10" t="inlineStr">
        <is>
          <t>操作で確認</t>
        </is>
      </c>
      <c r="I57" s="10" t="inlineStr">
        <is>
          <t>条件付きGo可</t>
        </is>
      </c>
      <c r="J57" s="11" t="inlineStr"/>
      <c r="K57" s="11" t="inlineStr"/>
      <c r="L57" s="11" t="inlineStr"/>
      <c r="M57" s="11" t="inlineStr"/>
    </row>
    <row r="58">
      <c r="A58" s="9" t="inlineStr">
        <is>
          <t>AC-51</t>
        </is>
      </c>
      <c r="B58" s="9" t="inlineStr">
        <is>
          <t>L2 次段階</t>
        </is>
      </c>
      <c r="C58" s="9" t="inlineStr">
        <is>
          <t>（次リリース）</t>
        </is>
      </c>
      <c r="D58" s="10" t="inlineStr">
        <is>
          <t>列マッピングテンプレート</t>
        </is>
      </c>
      <c r="E58" s="10" t="inlineStr">
        <is>
          <t>マッピング表をテンプレートでダウンロードし、行を追加・更新できること</t>
        </is>
      </c>
      <c r="F58" s="10" t="inlineStr">
        <is>
          <t>テンプレートDL・アップロード（CSV最大10MB）・行を追加・更新する がいずれも動作（失敗=0）。10MB超は拒否</t>
        </is>
      </c>
      <c r="G58" s="10" t="inlineStr">
        <is>
          <t>T-I19</t>
        </is>
      </c>
      <c r="H58" s="10" t="inlineStr">
        <is>
          <t>操作で確認</t>
        </is>
      </c>
      <c r="I58" s="10" t="inlineStr">
        <is>
          <t>影響なし</t>
        </is>
      </c>
      <c r="J58" s="11" t="inlineStr"/>
      <c r="K58" s="11" t="inlineStr"/>
      <c r="L58" s="11" t="inlineStr"/>
      <c r="M58" s="11" t="inlineStr"/>
    </row>
  </sheetData>
  <autoFilter ref="A7:M58"/>
  <mergeCells count="5">
    <mergeCell ref="A1:M1"/>
    <mergeCell ref="B4:E4"/>
    <mergeCell ref="A6:M6"/>
    <mergeCell ref="B3:E3"/>
    <mergeCell ref="B2:E2"/>
  </mergeCells>
  <conditionalFormatting sqref="J8:J58">
    <cfRule type="cellIs" priority="1" operator="equal" dxfId="0">
      <formula>"合格"</formula>
    </cfRule>
    <cfRule type="cellIs" priority="2" operator="equal" dxfId="1">
      <formula>"不合格"</formula>
    </cfRule>
  </conditionalFormatting>
  <dataValidations count="1">
    <dataValidation sqref="J8:J58" showDropDown="0" showInputMessage="0" showErrorMessage="0" allowBlank="1" type="list">
      <formula1>"合格,不合格,未実装"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2026-08-04T12:03:15Z</dcterms:created>
  <dcterms:modified xmlns:dcterms="http://purl.org/dc/terms/" xmlns:xsi="http://www.w3.org/2001/XMLSchema-instance" xsi:type="dcterms:W3CDTF">2026-08-04T12:03:15Z</dcterms:modified>
</cp:coreProperties>
</file>