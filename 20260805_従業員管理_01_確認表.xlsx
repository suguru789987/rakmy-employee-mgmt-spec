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'受入条件表'!$A$12:$R$71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1"/>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COUNTIF($A$13:$A$71,$A5)</f>
        <v/>
      </c>
      <c r="F5" s="6">
        <f>COUNTIFS($A$13:$A$71,$A5,$O$13:$O$71,"OK")</f>
        <v/>
      </c>
      <c r="G5" s="6">
        <f>COUNTIFS($A$13:$A$71,$A5,$O$13:$O$71,"NG")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COUNTIF($A$13:$A$71,$A6)</f>
        <v/>
      </c>
      <c r="F6" s="6">
        <f>COUNTIFS($A$13:$A$71,$A6,$O$13:$O$71,"OK")</f>
        <v/>
      </c>
      <c r="G6" s="6">
        <f>COUNTIFS($A$13:$A$71,$A6,$O$13:$O$71,"NG")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COUNTIF($A$13:$A$71,$A7)</f>
        <v/>
      </c>
      <c r="F7" s="6">
        <f>COUNTIFS($A$13:$A$71,$A7,$O$13:$O$71,"OK")</f>
        <v/>
      </c>
      <c r="G7" s="6">
        <f>COUNTIFS($A$13:$A$71,$A7,$O$13:$O$71,"NG")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COUNTIF($A$13:$A$71,$A8)</f>
        <v/>
      </c>
      <c r="F8" s="6">
        <f>COUNTIFS($A$13:$A$71,$A8,$O$13:$O$71,"OK")</f>
        <v/>
      </c>
      <c r="G8" s="6">
        <f>COUNTIFS($A$13:$A$71,$A8,$O$13:$O$71,"NG")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COUNTIF($A$13:$A$71,$A9)</f>
        <v/>
      </c>
      <c r="F9" s="6">
        <f>COUNTIFS($A$13:$A$71,$A9,$O$13:$O$71,"OK")</f>
        <v/>
      </c>
      <c r="G9" s="6">
        <f>COUNTIFS($A$13:$A$71,$A9,$O$13:$O$71,"NG")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COUNTIF($A$13:$A$71,$A10)</f>
        <v/>
      </c>
      <c r="F10" s="6">
        <f>COUNTIFS($A$13:$A$71,$A10,$O$13:$O$71,"OK")</f>
        <v/>
      </c>
      <c r="G10" s="6">
        <f>COUNTIFS($A$13:$A$71,$A10,$O$13:$O$71,"NG")</f>
        <v/>
      </c>
      <c r="H10" s="6" t="n"/>
      <c r="I10" s="6" t="n"/>
      <c r="J10" s="6">
        <f>IF($G10&gt;0,"未達（NG "&amp;$G10&amp;"件）",IF($F10=$E10,"完了","進行中（残 "&amp;($E10-$F10)&amp;"件）"))</f>
        <v/>
      </c>
    </row>
    <row r="11">
      <c r="A11" s="7" t="inlineStr">
        <is>
          <t>総合判定</t>
        </is>
      </c>
      <c r="B11" s="7">
        <f>IF(COUNTIFS($E$13:$E$71,"L0*",$O$13:$O$71,"NG")&gt;0,"✗ リリース不可（L0にNG）",IF(COUNTIFS($E$13:$E$71,"L1*",$O$13:$O$71,"NG")&gt;0,"△ 設計MVP未達（L1にNG）",IF(COUNTIFS($E$13:$E$71,"L0*",$O$13:$O$71,"OK")+COUNTIFS($E$13:$E$71,"L1*",$O$13:$O$71,"OK")&lt;COUNTIF($E$13:$E$71,"L0*")+COUNTIF($E$13:$E$71,"L1*"),"進行中（L0・L1に未判定あり）","◎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設定インポート／実績取込データ</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0円（1,461,312円）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全行で差分=0円（EMP-001=338,000／EMP-002=285,250／EMP-003=144,000／EMP-005=382,812／EMP-007=311,250）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332,727円（320,000×8/22＋340,000×14/22）</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144,000円（差分0）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設定取込データ／実績取込データ</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9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t>
        </is>
      </c>
      <c r="J61" s="9" t="inlineStr">
        <is>
          <t>給与実績一覧（設定編集モーダル）／従業員詳細</t>
        </is>
      </c>
      <c r="K61" s="9" t="inlineStr">
        <is>
          <t>T-A09 R-06</t>
        </is>
      </c>
      <c r="L61" s="9" t="inlineStr">
        <is>
          <t>操作手順 ＞ 従業員の設定を変更する</t>
        </is>
      </c>
      <c r="M61" s="9" t="inlineStr"/>
      <c r="N61" s="9" t="inlineStr">
        <is>
          <t>T-A09.png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設定取込データ／実績取込データ</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139"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はモード切替を持たないが、想定給与・給与実績差分が表示される（欠落=0件）。実績データ取込の前でも概算モードで金額が表示される（空欄=0件）。エクスポートの実績項目に給与実績差分が選べる</t>
        </is>
      </c>
      <c r="H69" s="9" t="inlineStr">
        <is>
          <t>不可</t>
        </is>
      </c>
      <c r="I69" s="9" t="inlineStr">
        <is>
          <t>月別は概算モードで基本列のみ、実績モードで実績列を追加表示する。日別はモード切替を置かず常に実績表示とし、その中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94"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従業員設定の想定労働日数が未入力なら月次予算設定の営業日数が使われる（解決できない従業員=0件）。入力があればそちらが優先される。日次の想定給与＝単位給与額÷想定労働日数（月給者）／単位給与額×実働時間（時給者）で、計算違い0件</t>
        </is>
      </c>
      <c r="H71" s="9" t="inlineStr">
        <is>
          <t>不可</t>
        </is>
      </c>
      <c r="I71" s="9" t="inlineStr">
        <is>
          <t>想定労働日数は非必須。未入力時は月次予算設定の営業日数を参照する。営業日数が未設定の場合の扱いを決めておく（この機能単独では完結しない）</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sheetData>
  <autoFilter ref="A12:R71"/>
  <mergeCells count="3">
    <mergeCell ref="A2:R2"/>
    <mergeCell ref="A1:R1"/>
    <mergeCell ref="B11:J11"/>
  </mergeCells>
  <conditionalFormatting sqref="O13:O71">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71"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2026-08-13T05:49:19Z</dcterms:created>
  <dcterms:modified xmlns:dcterms="http://purl.org/dc/terms/" xmlns:xsi="http://www.w3.org/2001/XMLSchema-instance" xsi:type="dcterms:W3CDTF">2026-08-13T05:49:19Z</dcterms:modified>
</cp:coreProperties>
</file>