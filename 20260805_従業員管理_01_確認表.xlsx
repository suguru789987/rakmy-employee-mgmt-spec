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0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COUNTIF($A$13:$A$80,$A5)</f>
        <v/>
      </c>
      <c r="F5" s="6">
        <f>COUNTIFS($A$13:$A$80,$A5,$O$13:$O$80,"OK")</f>
        <v/>
      </c>
      <c r="G5" s="6">
        <f>COUNTIFS($A$13:$A$80,$A5,$O$13:$O$80,"NG")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COUNTIF($A$13:$A$80,$A6)</f>
        <v/>
      </c>
      <c r="F6" s="6">
        <f>COUNTIFS($A$13:$A$80,$A6,$O$13:$O$80,"OK")</f>
        <v/>
      </c>
      <c r="G6" s="6">
        <f>COUNTIFS($A$13:$A$80,$A6,$O$13:$O$80,"NG")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COUNTIF($A$13:$A$80,$A7)</f>
        <v/>
      </c>
      <c r="F7" s="6">
        <f>COUNTIFS($A$13:$A$80,$A7,$O$13:$O$80,"OK")</f>
        <v/>
      </c>
      <c r="G7" s="6">
        <f>COUNTIFS($A$13:$A$80,$A7,$O$13:$O$80,"NG")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COUNTIF($A$13:$A$80,$A8)</f>
        <v/>
      </c>
      <c r="F8" s="6">
        <f>COUNTIFS($A$13:$A$80,$A8,$O$13:$O$80,"OK")</f>
        <v/>
      </c>
      <c r="G8" s="6">
        <f>COUNTIFS($A$13:$A$80,$A8,$O$13:$O$80,"NG")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COUNTIF($A$13:$A$80,$A9)</f>
        <v/>
      </c>
      <c r="F9" s="6">
        <f>COUNTIFS($A$13:$A$80,$A9,$O$13:$O$80,"OK")</f>
        <v/>
      </c>
      <c r="G9" s="6">
        <f>COUNTIFS($A$13:$A$80,$A9,$O$13:$O$80,"NG")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COUNTIF($A$13:$A$80,$A10)</f>
        <v/>
      </c>
      <c r="F10" s="6">
        <f>COUNTIFS($A$13:$A$80,$A10,$O$13:$O$80,"OK")</f>
        <v/>
      </c>
      <c r="G10" s="6">
        <f>COUNTIFS($A$13:$A$80,$A10,$O$13:$O$80,"NG")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IF(COUNTIFS($E$13:$E$80,"L0*",$O$13:$O$80,"NG")&gt;0,"✗ リリース不可（L0にNG）",IF(COUNTIFS($E$13:$E$80,"L1*",$O$13:$O$80,"NG")&gt;0,"△ 設計MVP未達（L1にNG）",IF(COUNTIFS($E$13:$E$80,"L0*",$O$13:$O$80,"OK")+COUNTIFS($E$13:$E$80,"L1*",$O$13:$O$80,"OK")&lt;COUNTIF($E$13:$E$80,"L0*")+COUNTIF($E$13:$E$80,"L1*"),"進行中（L0・L1に未判定あり）","◎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0円（1,561,312円）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全行で差分=0円（実績給与 EMP-001=357,600／EMP-002=300,250／EMP-003=154,300／EMP-005=407,912／EMP-007=341,250）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350,727円（320,000×8/22＋340,000×14/22＝332,727 ＋ 月額交通費18,000。判断23）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153,000円（1,200×所定120h ＋ 日額交通費600×想定労働日数15。判断23。差分0）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15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。設定を変えられるのは従業員詳細だけ。給与実績一覧の「従業員設定」は表示のみのモーダルで、保存ボタンが無く、中の「従業員詳細」ボタンから直しに行く（給与実績一覧での保存=0件。判断33）。判断33）。判断33）。食い違い=0件。判断32）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。画面の入口は従業員詳細だけになったが、設定インポートも設定を書き込むため、取込経路との共通化はR-06で確認する</t>
        </is>
      </c>
      <c r="J61" s="9" t="inlineStr">
        <is>
          <t>給与実績一覧（設定編集モーダル）／従業員詳細</t>
        </is>
      </c>
      <c r="K61" s="9" t="inlineStr">
        <is>
          <t>T-D11 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T-D11.png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  <row r="76" ht="94" customHeight="1">
      <c r="A76" s="9" t="inlineStr">
        <is>
          <t>M2 金額が算式どおりに出る</t>
        </is>
      </c>
      <c r="B76" s="9" t="inlineStr">
        <is>
          <t>確定した算式で人件費が計算され、店舗別の合計が全社と一致する</t>
        </is>
      </c>
      <c r="C76" s="9" t="inlineStr">
        <is>
          <t>計算：過去月の想定労働日数は動かさない</t>
        </is>
      </c>
      <c r="D76" s="10" t="inlineStr">
        <is>
          <t>AC-64</t>
        </is>
      </c>
      <c r="E76" s="11" t="inlineStr">
        <is>
          <t>L1 MVP必須</t>
        </is>
      </c>
      <c r="F76" s="9" t="inlineStr">
        <is>
          <t>過去月の概算給与が後から変わらない</t>
        </is>
      </c>
      <c r="G76" s="9" t="inlineStr">
        <is>
          <t>打刻がある月は その月の実出勤日数 が想定労働日数として使われる。新しい月を取り込んでも過去月の概算給与が1円も変わらない（差分=0円）。打刻が無い月だけ直近3か月の平均が使われる（判断34）</t>
        </is>
      </c>
      <c r="H76" s="9" t="inlineStr">
        <is>
          <t>不可</t>
        </is>
      </c>
      <c r="I76" s="9" t="inlineStr">
        <is>
          <t>当月は途中まで打刻が入るが、月の途中では直近3か月の平均を使う（今日までの出勤日数を使うと月初の概算が極端に小さくなる）。月が締まった時点でその月の実出勤日数に確定する</t>
        </is>
      </c>
      <c r="J76" s="9" t="inlineStr">
        <is>
          <t>給与実績一覧（月別・概算）</t>
        </is>
      </c>
      <c r="K76" s="9" t="inlineStr">
        <is>
          <t>C-020</t>
        </is>
      </c>
      <c r="L76" s="9" t="inlineStr">
        <is>
          <t>操作手順 ＞ 毎月の人件費を確定する</t>
        </is>
      </c>
      <c r="M76" s="9" t="inlineStr"/>
      <c r="N76" s="9" t="inlineStr">
        <is>
          <t>C-020.png</t>
        </is>
      </c>
      <c r="O76" s="12" t="inlineStr"/>
      <c r="P76" s="13" t="inlineStr"/>
      <c r="Q76" s="12" t="inlineStr"/>
      <c r="R76" s="12" t="inlineStr"/>
    </row>
    <row r="77" ht="49" customHeight="1">
      <c r="A77" s="9" t="inlineStr">
        <is>
          <t>M2 金額が算式どおりに出る</t>
        </is>
      </c>
      <c r="B77" s="9" t="inlineStr">
        <is>
          <t>確定した算式で人件費が計算され、店舗別の合計が全社と一致する</t>
        </is>
      </c>
      <c r="C77" s="9" t="inlineStr">
        <is>
          <t>計算：概算は在籍者だけ</t>
        </is>
      </c>
      <c r="D77" s="10" t="inlineStr">
        <is>
          <t>AC-65</t>
        </is>
      </c>
      <c r="E77" s="11" t="inlineStr">
        <is>
          <t>L1 MVP必須</t>
        </is>
      </c>
      <c r="F77" s="9" t="inlineStr">
        <is>
          <t>退職者が概算に含まれない</t>
        </is>
      </c>
      <c r="G77" s="9" t="inlineStr">
        <is>
          <t>在籍状態が「退職」の従業員は概算モードに出ない（出現=0件）。実績モードには出て、金額が1円も変わらない（判断35）</t>
        </is>
      </c>
      <c r="H77" s="9" t="inlineStr">
        <is>
          <t>条件付きGo可</t>
        </is>
      </c>
      <c r="I77" s="9" t="inlineStr">
        <is>
          <t>退職日は持たない。在籍状態だけで判定する</t>
        </is>
      </c>
      <c r="J77" s="9" t="inlineStr">
        <is>
          <t>給与実績一覧（月別・日別／概算）</t>
        </is>
      </c>
      <c r="K77" s="9" t="inlineStr">
        <is>
          <t>T-D14</t>
        </is>
      </c>
      <c r="L77" s="9" t="inlineStr">
        <is>
          <t>ケース別 ＞ 給与改定を先の日付で予約する</t>
        </is>
      </c>
      <c r="M77" s="9" t="inlineStr"/>
      <c r="N77" s="9" t="inlineStr">
        <is>
          <t>T-D14.png</t>
        </is>
      </c>
      <c r="O77" s="12" t="inlineStr"/>
      <c r="P77" s="13" t="inlineStr"/>
      <c r="Q77" s="12" t="inlineStr"/>
      <c r="R77" s="12" t="inlineStr"/>
    </row>
    <row r="78" ht="79" customHeight="1">
      <c r="A78" s="9" t="inlineStr">
        <is>
          <t>M1 過去が動かない構造ができる</t>
        </is>
      </c>
      <c r="B78" s="9" t="inlineStr">
        <is>
          <t>設定が適用日付つきで保存され、履歴が積まれる。同じ従業員コードが二重に登録されない</t>
        </is>
      </c>
      <c r="C78" s="9" t="inlineStr">
        <is>
          <t>原則①：上書きではなく積み重ね</t>
        </is>
      </c>
      <c r="D78" s="10" t="inlineStr">
        <is>
          <t>AC-66</t>
        </is>
      </c>
      <c r="E78" s="11" t="inlineStr">
        <is>
          <t>L1 MVP必須</t>
        </is>
      </c>
      <c r="F78" s="9" t="inlineStr">
        <is>
          <t>同じ適用日付が複数あってもどちらが有効か決まる</t>
        </is>
      </c>
      <c r="G78" s="9" t="inlineStr">
        <is>
          <t>同じ適用日付で2件保存すると、編集日時が新しいほうが有効になり、古いほうも履歴に残る（消失=0件）。将来日付の予約を2件入れると両方残り、適用日付の順に効く。有効な行にだけステータスが付く（判断36）</t>
        </is>
      </c>
      <c r="H78" s="9" t="inlineStr">
        <is>
          <t>不可</t>
        </is>
      </c>
      <c r="I78" s="9" t="inlineStr">
        <is>
          <t>上書きで消さないこと。消すとAC-07・AC-08（原因を追える）が破れる</t>
        </is>
      </c>
      <c r="J78" s="9" t="inlineStr">
        <is>
          <t>従業員詳細（設定変更履歴）／設定変更履歴一覧</t>
        </is>
      </c>
      <c r="K78" s="9" t="inlineStr">
        <is>
          <t>T-D14 R-01</t>
        </is>
      </c>
      <c r="L78" s="9" t="inlineStr">
        <is>
          <t>ケース別 ＞ 給与改定を先の日付で予約する ／ ケース別 ＞ 数字が合わないとき</t>
        </is>
      </c>
      <c r="M78" s="9" t="inlineStr"/>
      <c r="N78" s="9" t="inlineStr">
        <is>
          <t>T-D14.png</t>
        </is>
      </c>
      <c r="O78" s="12" t="inlineStr"/>
      <c r="P78" s="13" t="inlineStr"/>
      <c r="Q78" s="12" t="inlineStr"/>
      <c r="R78" s="12" t="inlineStr"/>
    </row>
    <row r="79" ht="64" customHeight="1">
      <c r="A79" s="9" t="inlineStr">
        <is>
          <t>M2 金額が算式どおりに出る</t>
        </is>
      </c>
      <c r="B79" s="9" t="inlineStr">
        <is>
          <t>確定した算式で人件費が計算され、店舗別の合計が全社と一致する</t>
        </is>
      </c>
      <c r="C79" s="9" t="inlineStr">
        <is>
          <t>計算：交通費は按分しない</t>
        </is>
      </c>
      <c r="D79" s="10" t="inlineStr">
        <is>
          <t>AC-67</t>
        </is>
      </c>
      <c r="E79" s="15" t="inlineStr">
        <is>
          <t>L2 次段階</t>
        </is>
      </c>
      <c r="F79" s="9" t="inlineStr">
        <is>
          <t>月の途中で交通費を改定しても実費と合う</t>
        </is>
      </c>
      <c r="G79" s="9" t="inlineStr">
        <is>
          <t>月額交通費を月の途中で改定した月は旧額のまま、翌月から新額になる（日割り=0件）。日額交通費は適用日付以降の出勤日から新額になる（判断37）</t>
        </is>
      </c>
      <c r="H79" s="9" t="inlineStr">
        <is>
          <t>条件付きGo可</t>
        </is>
      </c>
      <c r="I79" s="9" t="inlineStr">
        <is>
          <t>定期代は月単位で購入するため、月額は日割りしない。日額は日ごとの実費なので日単位で切り替える</t>
        </is>
      </c>
      <c r="J79" s="9" t="inlineStr">
        <is>
          <t>給与実績一覧（月別・日別）</t>
        </is>
      </c>
      <c r="K79" s="9" t="inlineStr">
        <is>
          <t>C-021</t>
        </is>
      </c>
      <c r="L79" s="9" t="inlineStr">
        <is>
          <t>ケース別 ＞ 給与改定を先の日付で予約する</t>
        </is>
      </c>
      <c r="M79" s="9" t="inlineStr"/>
      <c r="N79" s="9" t="inlineStr">
        <is>
          <t>C-021.png</t>
        </is>
      </c>
      <c r="O79" s="12" t="inlineStr"/>
      <c r="P79" s="13" t="inlineStr"/>
      <c r="Q79" s="12" t="inlineStr"/>
      <c r="R79" s="12" t="inlineStr"/>
    </row>
    <row r="80" ht="169" customHeight="1">
      <c r="A80" s="9" t="inlineStr">
        <is>
          <t>M4 顧客とCSが自分で運用できる</t>
        </is>
      </c>
      <c r="B80" s="9" t="inlineStr">
        <is>
          <t>CSVで取り込め、必要な項目だけ出力でき、数字がおかしいときに原因を追える</t>
        </is>
      </c>
      <c r="C80" s="9" t="inlineStr">
        <is>
          <t>入出力：登録の手間を減らすが、設定は必ず埋めさせる</t>
        </is>
      </c>
      <c r="D80" s="10" t="inlineStr">
        <is>
          <t>AC-68</t>
        </is>
      </c>
      <c r="E80" s="15" t="inlineStr">
        <is>
          <t>L2 次段階</t>
        </is>
      </c>
      <c r="F80" s="9" t="inlineStr">
        <is>
          <t>外部勤怠の新しい従業員を自動で追加でき、設定漏れが見える</t>
        </is>
      </c>
      <c r="G80" s="9" t="inlineStr">
        <is>
          <t>連携設定に「新しい従業員を自動で追加する」のチェックボックスがあり、既定はOFF。OFFなら対応表に無い外部IDは取り込まれず件数と理由が出る（黙って登録=0件）。ONなら従業員が自動追加され、従業員ID・従業員コード・在籍状態=在籍・適用日付=取込対象月の初日 が入り、給与設定は空、外部ID対応表に行が1件増える。自動追加された従業員は、従業員一覧の絞り込み「設定＝給与設定が未入力」と、給与実績一覧の絞り込み「エラー＝給与設定が未入力」の両方で抽出できる（判断38）</t>
        </is>
      </c>
      <c r="H80" s="9" t="inlineStr">
        <is>
          <t>条件付きGo可</t>
        </is>
      </c>
      <c r="I80" s="9" t="inlineStr">
        <is>
          <t>チェックボックスの置き場所は連携設定（ラクミー経営管理の既存画面。D7）。従業員管理の中では完結しない。自動追加は入力の手間を減らすものであって、設定を入れなくてよくなるわけではない</t>
        </is>
      </c>
      <c r="J80" s="9" t="inlineStr">
        <is>
          <t>連携設定／実績の取込結果／従業員一覧／給与実績一覧</t>
        </is>
      </c>
      <c r="K80" s="9" t="inlineStr">
        <is>
          <t>T-I21</t>
        </is>
      </c>
      <c r="L80" s="9" t="inlineStr">
        <is>
          <t>ケース別 ＞ CSVの列名がラクミーと違うとき</t>
        </is>
      </c>
      <c r="M80" s="9" t="inlineStr"/>
      <c r="N80" s="9" t="inlineStr">
        <is>
          <t>T-I21.png</t>
        </is>
      </c>
      <c r="O80" s="12" t="inlineStr"/>
      <c r="P80" s="13" t="inlineStr"/>
      <c r="Q80" s="12" t="inlineStr"/>
      <c r="R80" s="12" t="inlineStr"/>
    </row>
  </sheetData>
  <autoFilter ref="A12:R80"/>
  <mergeCells count="3">
    <mergeCell ref="A2:R2"/>
    <mergeCell ref="A1:R1"/>
    <mergeCell ref="B11:J11"/>
  </mergeCells>
  <conditionalFormatting sqref="O13:O80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80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2026-08-13T09:50:04Z</dcterms:created>
  <dcterms:modified xmlns:dcterms="http://purl.org/dc/terms/" xmlns:xsi="http://www.w3.org/2001/XMLSchema-instance" xsi:type="dcterms:W3CDTF">2026-08-13T09:50:04Z</dcterms:modified>
</cp:coreProperties>
</file>