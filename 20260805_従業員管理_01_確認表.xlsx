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受入条件表" sheetId="1" state="visible" r:id="rId1"/>
  </sheets>
  <definedNames>
    <definedName name="_xlnm._FilterDatabase" localSheetId="0" hidden="1">'受入条件表'!$A$12:$R$72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color rgb="0057606A"/>
      <sz val="10"/>
    </font>
    <font>
      <b val="1"/>
      <sz val="10"/>
    </font>
    <font>
      <sz val="10"/>
    </font>
    <font>
      <b val="1"/>
      <sz val="11"/>
    </font>
    <font>
      <b val="1"/>
      <color rgb="00CF222E"/>
      <sz val="10"/>
    </font>
  </fonts>
  <fills count="7">
    <fill>
      <patternFill/>
    </fill>
    <fill>
      <patternFill patternType="gray125"/>
    </fill>
    <fill>
      <patternFill patternType="solid">
        <fgColor rgb="00F1F3F5"/>
      </patternFill>
    </fill>
    <fill>
      <patternFill patternType="solid">
        <fgColor rgb="00FFF9DB"/>
      </patternFill>
    </fill>
    <fill>
      <patternFill patternType="solid">
        <fgColor rgb="00DDF4FF"/>
      </patternFill>
    </fill>
    <fill>
      <patternFill patternType="solid">
        <fgColor rgb="00FFEBE9"/>
      </patternFill>
    </fill>
    <fill>
      <patternFill patternType="solid">
        <fgColor rgb="00F6F8FA"/>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4" fillId="0" borderId="1" pivotButton="0" quotePrefix="0" xfId="0"/>
    <xf numFmtId="0" fontId="0" fillId="0" borderId="1" applyAlignment="1" pivotButton="0" quotePrefix="0" xfId="0">
      <alignment vertical="top" wrapText="1"/>
    </xf>
    <xf numFmtId="0" fontId="0" fillId="0" borderId="1" pivotButton="0" quotePrefix="0" xfId="0"/>
    <xf numFmtId="0" fontId="5"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vertical="top" wrapText="1"/>
    </xf>
    <xf numFmtId="0" fontId="4" fillId="0" borderId="1" applyAlignment="1" pivotButton="0" quotePrefix="0" xfId="0">
      <alignment vertical="top"/>
    </xf>
    <xf numFmtId="0" fontId="4" fillId="4" borderId="1" applyAlignment="1" pivotButton="0" quotePrefix="0" xfId="0">
      <alignment vertical="top"/>
    </xf>
    <xf numFmtId="0" fontId="4" fillId="3" borderId="1" applyAlignment="1" pivotButton="0" quotePrefix="0" xfId="0">
      <alignment vertical="top"/>
    </xf>
    <xf numFmtId="0" fontId="4" fillId="3" borderId="1" applyAlignment="1" pivotButton="0" quotePrefix="0" xfId="0">
      <alignment vertical="top" wrapText="1"/>
    </xf>
    <xf numFmtId="0" fontId="6" fillId="5" borderId="1" applyAlignment="1" pivotButton="0" quotePrefix="0" xfId="0">
      <alignment vertical="top"/>
    </xf>
    <xf numFmtId="0" fontId="4" fillId="6" borderId="1" applyAlignment="1" pivotButton="0" quotePrefix="0" xfId="0">
      <alignment vertical="top"/>
    </xf>
  </cellXfs>
  <cellStyles count="1">
    <cellStyle name="Normal" xfId="0" builtinId="0" hidden="0"/>
  </cellStyles>
  <dxfs count="2">
    <dxf>
      <fill>
        <patternFill patternType="solid">
          <fgColor rgb="00DAFBE1"/>
        </patternFill>
      </fill>
    </dxf>
    <dxf>
      <fill>
        <patternFill patternType="solid">
          <fgColor rgb="00FFEB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7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22" customWidth="1" min="3" max="3"/>
    <col width="9" customWidth="1" min="4" max="4"/>
    <col width="12" customWidth="1" min="5" max="5"/>
    <col width="38" customWidth="1" min="6" max="6"/>
    <col width="44" customWidth="1" min="7" max="7"/>
    <col width="40" customWidth="1" min="8" max="8"/>
    <col width="34" customWidth="1" min="9" max="9"/>
    <col width="22" customWidth="1" min="10" max="10"/>
    <col width="16" customWidth="1" min="11" max="11"/>
    <col width="30" customWidth="1" min="12" max="12"/>
    <col width="32" customWidth="1" min="13" max="13"/>
    <col width="14" customWidth="1" min="14" max="14"/>
    <col width="9" customWidth="1" min="15" max="15"/>
    <col width="20" customWidth="1" min="16" max="16"/>
    <col width="11" customWidth="1" min="17" max="17"/>
    <col width="11" customWidth="1" min="18" max="18"/>
  </cols>
  <sheetData>
    <row r="1">
      <c r="A1" s="1" t="inlineStr">
        <is>
          <t>従業員管理 受入条件表 ─ どこまで実装できれば合格か</t>
        </is>
      </c>
    </row>
    <row r="2">
      <c r="A2" s="2" t="inlineStr">
        <is>
          <t>「合否」に OK / NG を入れると下の到達状況が自動更新されます</t>
        </is>
      </c>
    </row>
    <row r="4">
      <c r="A4" s="3" t="inlineStr">
        <is>
          <t>マイルストーン</t>
        </is>
      </c>
      <c r="B4" s="3" t="inlineStr">
        <is>
          <t>完了条件</t>
        </is>
      </c>
      <c r="C4" s="3" t="inlineStr"/>
      <c r="D4" s="3" t="inlineStr"/>
      <c r="E4" s="3" t="inlineStr">
        <is>
          <t>条件数</t>
        </is>
      </c>
      <c r="F4" s="3" t="inlineStr">
        <is>
          <t>OK</t>
        </is>
      </c>
      <c r="G4" s="3" t="inlineStr">
        <is>
          <t>NG</t>
        </is>
      </c>
      <c r="H4" s="3" t="inlineStr"/>
      <c r="I4" s="3" t="inlineStr"/>
      <c r="J4" s="3" t="inlineStr">
        <is>
          <t>状態</t>
        </is>
      </c>
    </row>
    <row r="5" ht="49" customHeight="1">
      <c r="A5" s="4" t="inlineStr">
        <is>
          <t>M1 過去が動かない構造ができる</t>
        </is>
      </c>
      <c r="B5" s="5" t="inlineStr">
        <is>
          <t>設定が適用日付つきで保存され、履歴が積まれる。同じ従業員コードが二重に登録されない</t>
        </is>
      </c>
      <c r="C5" s="6" t="n"/>
      <c r="D5" s="6" t="n"/>
      <c r="E5" s="6">
        <f>COUNTIF($A$13:$A$72,$A5)</f>
        <v/>
      </c>
      <c r="F5" s="6">
        <f>COUNTIFS($A$13:$A$72,$A5,$O$13:$O$72,"OK")</f>
        <v/>
      </c>
      <c r="G5" s="6">
        <f>COUNTIFS($A$13:$A$72,$A5,$O$13:$O$72,"NG")</f>
        <v/>
      </c>
      <c r="H5" s="6" t="n"/>
      <c r="I5" s="6" t="n"/>
      <c r="J5" s="6">
        <f>IF($G5&gt;0,"未達（NG "&amp;$G5&amp;"件）",IF($F5=$E5,"完了","進行中（残 "&amp;($E5-$F5)&amp;"件）"))</f>
        <v/>
      </c>
    </row>
    <row r="6" ht="49" customHeight="1">
      <c r="A6" s="4" t="inlineStr">
        <is>
          <t>M2 金額が算式どおりに出る</t>
        </is>
      </c>
      <c r="B6" s="5" t="inlineStr">
        <is>
          <t>確定した算式で人件費が計算され、店舗別の合計が全社と一致する</t>
        </is>
      </c>
      <c r="C6" s="6" t="n"/>
      <c r="D6" s="6" t="n"/>
      <c r="E6" s="6">
        <f>COUNTIF($A$13:$A$72,$A6)</f>
        <v/>
      </c>
      <c r="F6" s="6">
        <f>COUNTIFS($A$13:$A$72,$A6,$O$13:$O$72,"OK")</f>
        <v/>
      </c>
      <c r="G6" s="6">
        <f>COUNTIFS($A$13:$A$72,$A6,$O$13:$O$72,"NG")</f>
        <v/>
      </c>
      <c r="H6" s="6" t="n"/>
      <c r="I6" s="6" t="n"/>
      <c r="J6" s="6">
        <f>IF($G6&gt;0,"未達（NG "&amp;$G6&amp;"件）",IF($F6=$E6,"完了","進行中（残 "&amp;($E6-$F6)&amp;"件）"))</f>
        <v/>
      </c>
    </row>
    <row r="7" ht="49" customHeight="1">
      <c r="A7" s="4" t="inlineStr">
        <is>
          <t>M3 月次を確定して外部へ渡せる</t>
        </is>
      </c>
      <c r="B7" s="5" t="inlineStr">
        <is>
          <t>締めた月は動かず、解除すれば再計算される。締めは会社スコープのみ</t>
        </is>
      </c>
      <c r="C7" s="6" t="n"/>
      <c r="D7" s="6" t="n"/>
      <c r="E7" s="6">
        <f>COUNTIF($A$13:$A$72,$A7)</f>
        <v/>
      </c>
      <c r="F7" s="6">
        <f>COUNTIFS($A$13:$A$72,$A7,$O$13:$O$72,"OK")</f>
        <v/>
      </c>
      <c r="G7" s="6">
        <f>COUNTIFS($A$13:$A$72,$A7,$O$13:$O$72,"NG")</f>
        <v/>
      </c>
      <c r="H7" s="6" t="n"/>
      <c r="I7" s="6" t="n"/>
      <c r="J7" s="6">
        <f>IF($G7&gt;0,"未達（NG "&amp;$G7&amp;"件）",IF($F7=$E7,"完了","進行中（残 "&amp;($E7-$F7)&amp;"件）"))</f>
        <v/>
      </c>
    </row>
    <row r="8" ht="49" customHeight="1">
      <c r="A8" s="4" t="inlineStr">
        <is>
          <t>M4 顧客とCSが自分で運用できる</t>
        </is>
      </c>
      <c r="B8" s="5" t="inlineStr">
        <is>
          <t>CSVで取り込め、必要な項目だけ出力でき、数字がおかしいときに原因を追える</t>
        </is>
      </c>
      <c r="C8" s="6" t="n"/>
      <c r="D8" s="6" t="n"/>
      <c r="E8" s="6">
        <f>COUNTIF($A$13:$A$72,$A8)</f>
        <v/>
      </c>
      <c r="F8" s="6">
        <f>COUNTIFS($A$13:$A$72,$A8,$O$13:$O$72,"OK")</f>
        <v/>
      </c>
      <c r="G8" s="6">
        <f>COUNTIFS($A$13:$A$72,$A8,$O$13:$O$72,"NG")</f>
        <v/>
      </c>
      <c r="H8" s="6" t="n"/>
      <c r="I8" s="6" t="n"/>
      <c r="J8" s="6">
        <f>IF($G8&gt;0,"未達（NG "&amp;$G8&amp;"件）",IF($F8=$E8,"完了","進行中（残 "&amp;($E8-$F8)&amp;"件）"))</f>
        <v/>
      </c>
    </row>
    <row r="9" ht="34" customHeight="1">
      <c r="A9" s="4" t="inlineStr">
        <is>
          <t>M5 既存顧客を壊さない</t>
        </is>
      </c>
      <c r="B9" s="5" t="inlineStr">
        <is>
          <t>移行しても既存データと過去月の人件費が変わらない</t>
        </is>
      </c>
      <c r="C9" s="6" t="n"/>
      <c r="D9" s="6" t="n"/>
      <c r="E9" s="6">
        <f>COUNTIF($A$13:$A$72,$A9)</f>
        <v/>
      </c>
      <c r="F9" s="6">
        <f>COUNTIFS($A$13:$A$72,$A9,$O$13:$O$72,"OK")</f>
        <v/>
      </c>
      <c r="G9" s="6">
        <f>COUNTIFS($A$13:$A$72,$A9,$O$13:$O$72,"NG")</f>
        <v/>
      </c>
      <c r="H9" s="6" t="n"/>
      <c r="I9" s="6" t="n"/>
      <c r="J9" s="6">
        <f>IF($G9&gt;0,"未達（NG "&amp;$G9&amp;"件）",IF($F9=$E9,"完了","進行中（残 "&amp;($E9-$F9)&amp;"件）"))</f>
        <v/>
      </c>
    </row>
    <row r="10" ht="34" customHeight="1">
      <c r="A10" s="4" t="inlineStr">
        <is>
          <t>M6 次段階（今回は実装しない）</t>
        </is>
      </c>
      <c r="B10" s="5" t="inlineStr">
        <is>
          <t>無くても業務は回る。実測を記録し次の優先順位を決める</t>
        </is>
      </c>
      <c r="C10" s="6" t="n"/>
      <c r="D10" s="6" t="n"/>
      <c r="E10" s="6">
        <f>COUNTIF($A$13:$A$72,$A10)</f>
        <v/>
      </c>
      <c r="F10" s="6">
        <f>COUNTIFS($A$13:$A$72,$A10,$O$13:$O$72,"OK")</f>
        <v/>
      </c>
      <c r="G10" s="6">
        <f>COUNTIFS($A$13:$A$72,$A10,$O$13:$O$72,"NG")</f>
        <v/>
      </c>
      <c r="H10" s="6" t="n"/>
      <c r="I10" s="6" t="n"/>
      <c r="J10" s="6">
        <f>IF($G10&gt;0,"未達（NG "&amp;$G10&amp;"件）",IF($F10=$E10,"完了","進行中（残 "&amp;($E10-$F10)&amp;"件）"))</f>
        <v/>
      </c>
    </row>
    <row r="11">
      <c r="A11" s="7" t="inlineStr">
        <is>
          <t>総合判定</t>
        </is>
      </c>
      <c r="B11" s="7">
        <f>IF(COUNTIFS($E$13:$E$72,"L0*",$O$13:$O$72,"NG")&gt;0,"✗ リリース不可（L0にNG）",IF(COUNTIFS($E$13:$E$72,"L1*",$O$13:$O$72,"NG")&gt;0,"△ 設計MVP未達（L1にNG）",IF(COUNTIFS($E$13:$E$72,"L0*",$O$13:$O$72,"OK")+COUNTIFS($E$13:$E$72,"L1*",$O$13:$O$72,"OK")&lt;COUNTIF($E$13:$E$72,"L0*")+COUNTIF($E$13:$E$72,"L1*"),"進行中（L0・L1に未判定あり）","◎ リリース可（L0・L1すべてOK）")))</f>
        <v/>
      </c>
    </row>
    <row r="12" ht="34" customHeight="1">
      <c r="A12" s="8" t="inlineStr">
        <is>
          <t>マイルストーン</t>
        </is>
      </c>
      <c r="B12" s="8" t="inlineStr">
        <is>
          <t>マイルストーンの完了条件</t>
        </is>
      </c>
      <c r="C12" s="8" t="inlineStr">
        <is>
          <t>設計ポイント</t>
        </is>
      </c>
      <c r="D12" s="8" t="inlineStr">
        <is>
          <t>条件ID</t>
        </is>
      </c>
      <c r="E12" s="8" t="inlineStr">
        <is>
          <t>実装レベル</t>
        </is>
      </c>
      <c r="F12" s="8" t="inlineStr">
        <is>
          <t>何を実装するか</t>
        </is>
      </c>
      <c r="G12" s="8" t="inlineStr">
        <is>
          <t>合格ライン（この数値を満たせば実装完了）</t>
        </is>
      </c>
      <c r="H12" s="8" t="inlineStr">
        <is>
          <t>実装できていないと起きること</t>
        </is>
      </c>
      <c r="I12" s="8" t="inlineStr">
        <is>
          <t>実装箇所</t>
        </is>
      </c>
      <c r="J12" s="8" t="inlineStr">
        <is>
          <t>確認する画面</t>
        </is>
      </c>
      <c r="K12" s="8" t="inlineStr">
        <is>
          <t>対応検証ID</t>
        </is>
      </c>
      <c r="L12" s="8" t="inlineStr">
        <is>
          <t>ヘルプページ該当箇所</t>
        </is>
      </c>
      <c r="M12" s="8" t="inlineStr">
        <is>
          <t>仕様書の根拠</t>
        </is>
      </c>
      <c r="N12" s="8" t="inlineStr">
        <is>
          <t>エビデンス</t>
        </is>
      </c>
      <c r="O12" s="8" t="inlineStr">
        <is>
          <t>合否</t>
        </is>
      </c>
      <c r="P12" s="8" t="inlineStr">
        <is>
          <t>実測値</t>
        </is>
      </c>
      <c r="Q12" s="8" t="inlineStr">
        <is>
          <t>判定者</t>
        </is>
      </c>
      <c r="R12" s="8" t="inlineStr">
        <is>
          <t>判定日</t>
        </is>
      </c>
    </row>
    <row r="13" ht="49" customHeight="1">
      <c r="A13" s="9" t="inlineStr">
        <is>
          <t>M1 過去が動かない構造ができる</t>
        </is>
      </c>
      <c r="B13" s="9" t="inlineStr">
        <is>
          <t>設定が適用日付つきで保存され、履歴が積まれる。同じ従業員コードが二重に登録されない</t>
        </is>
      </c>
      <c r="C13" s="9" t="inlineStr">
        <is>
          <t>移行：履歴の起点を作る</t>
        </is>
      </c>
      <c r="D13" s="10" t="inlineStr">
        <is>
          <t>AC-02</t>
        </is>
      </c>
      <c r="E13" s="11" t="inlineStr">
        <is>
          <t>L1 MVP必須</t>
        </is>
      </c>
      <c r="F13" s="9" t="inlineStr">
        <is>
          <t>すべての従業員に適用日付が付いている</t>
        </is>
      </c>
      <c r="G13" s="9" t="inlineStr">
        <is>
          <t>適用日付がNULLの行=0件</t>
        </is>
      </c>
      <c r="H13" s="9" t="inlineStr">
        <is>
          <t>条件付きGo不可（AC-03が担保できない）</t>
        </is>
      </c>
      <c r="I13" s="9" t="inlineStr">
        <is>
          <t>移行時に初回レコードを過去日で生成。以降の変更はこの上に積む</t>
        </is>
      </c>
      <c r="J13" s="9" t="inlineStr">
        <is>
          <t>設定変更履歴一覧</t>
        </is>
      </c>
      <c r="K13" s="9" t="inlineStr">
        <is>
          <t>T-Z02</t>
        </is>
      </c>
      <c r="L13" s="9" t="inlineStr">
        <is>
          <t>ケース別 ＞ すでにご利用中のお客様</t>
        </is>
      </c>
      <c r="M13" s="9" t="inlineStr"/>
      <c r="N13" s="9" t="inlineStr">
        <is>
          <t>T-Z02.png</t>
        </is>
      </c>
      <c r="O13" s="12" t="inlineStr"/>
      <c r="P13" s="13" t="inlineStr"/>
      <c r="Q13" s="12" t="inlineStr"/>
      <c r="R13" s="12" t="inlineStr"/>
    </row>
    <row r="14" ht="49" customHeight="1">
      <c r="A14" s="9" t="inlineStr">
        <is>
          <t>M1 過去が動かない構造ができる</t>
        </is>
      </c>
      <c r="B14" s="9" t="inlineStr">
        <is>
          <t>設定が適用日付つきで保存され、履歴が積まれる。同じ従業員コードが二重に登録されない</t>
        </is>
      </c>
      <c r="C14" s="9" t="inlineStr">
        <is>
          <t>原則①：未来日は予約になる</t>
        </is>
      </c>
      <c r="D14" s="10" t="inlineStr">
        <is>
          <t>AC-04</t>
        </is>
      </c>
      <c r="E14" s="11" t="inlineStr">
        <is>
          <t>L1 MVP必須</t>
        </is>
      </c>
      <c r="F14" s="9" t="inlineStr">
        <is>
          <t>保存しても当日までは反映されない</t>
        </is>
      </c>
      <c r="G14" s="9" t="inlineStr">
        <is>
          <t>当日時点での反映=0件（一覧は旧値のまま）</t>
        </is>
      </c>
      <c r="H14" s="9" t="inlineStr">
        <is>
          <t>不可（本機能の中心価値）</t>
        </is>
      </c>
      <c r="I14" s="9" t="inlineStr">
        <is>
          <t>設定を「適用日付つきの履歴レコード」として保存し、参照時は基準日で有効行を解決する。上書きしない</t>
        </is>
      </c>
      <c r="J14" s="9" t="inlineStr">
        <is>
          <t>従業員詳細 → 従業員一覧</t>
        </is>
      </c>
      <c r="K14" s="9" t="inlineStr">
        <is>
          <t>T-D04 C-006</t>
        </is>
      </c>
      <c r="L14" s="9" t="inlineStr">
        <is>
          <t>ケース別 ＞ 給与改定を先の日付で予約する</t>
        </is>
      </c>
      <c r="M14" s="9" t="inlineStr"/>
      <c r="N14" s="9" t="inlineStr">
        <is>
          <t>T-D04.png</t>
        </is>
      </c>
      <c r="O14" s="12" t="inlineStr"/>
      <c r="P14" s="13" t="inlineStr"/>
      <c r="Q14" s="12" t="inlineStr"/>
      <c r="R14" s="12" t="inlineStr"/>
    </row>
    <row r="15" ht="49" customHeight="1">
      <c r="A15" s="9" t="inlineStr">
        <is>
          <t>M1 過去が動かない構造ができる</t>
        </is>
      </c>
      <c r="B15" s="9" t="inlineStr">
        <is>
          <t>設定が適用日付つきで保存され、履歴が積まれる。同じ従業員コードが二重に登録されない</t>
        </is>
      </c>
      <c r="C15" s="9" t="inlineStr">
        <is>
          <t>原則①：当日・過去日は即時</t>
        </is>
      </c>
      <c r="D15" s="10" t="inlineStr">
        <is>
          <t>AC-06</t>
        </is>
      </c>
      <c r="E15" s="11" t="inlineStr">
        <is>
          <t>L1 MVP必須</t>
        </is>
      </c>
      <c r="F15" s="9" t="inlineStr">
        <is>
          <t>保存直後に反映される</t>
        </is>
      </c>
      <c r="G15" s="9" t="inlineStr">
        <is>
          <t>反映の遅延=0（再読込で新値）</t>
        </is>
      </c>
      <c r="H15" s="9" t="inlineStr">
        <is>
          <t>不可（通常の変更ができない）</t>
        </is>
      </c>
      <c r="I15" s="9" t="inlineStr">
        <is>
          <t>基準日&lt;=当日の行を有効として即時解決する</t>
        </is>
      </c>
      <c r="J15" s="9" t="inlineStr">
        <is>
          <t>従業員詳細 → 従業員一覧</t>
        </is>
      </c>
      <c r="K15" s="9" t="inlineStr">
        <is>
          <t>T-R02 T-R07 T-D06</t>
        </is>
      </c>
      <c r="L15" s="9" t="inlineStr">
        <is>
          <t>操作手順 ＞ 従業員を登録する ／ 操作手順 ＞ 従業員の設定を変更する</t>
        </is>
      </c>
      <c r="M15" s="9" t="inlineStr"/>
      <c r="N15" s="9" t="inlineStr">
        <is>
          <t>T-R02.png</t>
        </is>
      </c>
      <c r="O15" s="12" t="inlineStr"/>
      <c r="P15" s="13" t="inlineStr"/>
      <c r="Q15" s="12" t="inlineStr"/>
      <c r="R15" s="12" t="inlineStr"/>
    </row>
    <row r="16" ht="49" customHeight="1">
      <c r="A16" s="9" t="inlineStr">
        <is>
          <t>M1 過去が動かない構造ができる</t>
        </is>
      </c>
      <c r="B16" s="9" t="inlineStr">
        <is>
          <t>設定が適用日付つきで保存され、履歴が積まれる。同じ従業員コードが二重に登録されない</t>
        </is>
      </c>
      <c r="C16" s="9" t="inlineStr">
        <is>
          <t>原則①：過去は不変</t>
        </is>
      </c>
      <c r="D16" s="10" t="inlineStr">
        <is>
          <t>AC-07</t>
        </is>
      </c>
      <c r="E16" s="11" t="inlineStr">
        <is>
          <t>L1 MVP必須</t>
        </is>
      </c>
      <c r="F16" s="9" t="inlineStr">
        <is>
          <t>過去の履歴が書き換わらない</t>
        </is>
      </c>
      <c r="G16" s="9" t="inlineStr">
        <is>
          <t>履歴が1行増え、既存行の差分=0</t>
        </is>
      </c>
      <c r="H16" s="9" t="inlineStr">
        <is>
          <t>不可（AC-03が連鎖して壊れる）</t>
        </is>
      </c>
      <c r="I16" s="9" t="inlineStr">
        <is>
          <t>履歴テーブルはINSERTのみ。UPDATE/DELETEを行わない</t>
        </is>
      </c>
      <c r="J16" s="9" t="inlineStr">
        <is>
          <t>従業員詳細／設定履歴</t>
        </is>
      </c>
      <c r="K16" s="9" t="inlineStr">
        <is>
          <t>T-D01 T-H01 R-01</t>
        </is>
      </c>
      <c r="L16" s="9" t="inlineStr">
        <is>
          <t>操作手順 ＞ 従業員の設定を変更する ／ ケース別 ＞ 数字が合わないとき</t>
        </is>
      </c>
      <c r="M16" s="9" t="inlineStr"/>
      <c r="N16" s="9" t="inlineStr">
        <is>
          <t>T-D01.png</t>
        </is>
      </c>
      <c r="O16" s="12" t="inlineStr"/>
      <c r="P16" s="13" t="inlineStr"/>
      <c r="Q16" s="12" t="inlineStr"/>
      <c r="R16" s="12" t="inlineStr"/>
    </row>
    <row r="17" ht="49" customHeight="1">
      <c r="A17" s="9" t="inlineStr">
        <is>
          <t>M1 過去が動かない構造ができる</t>
        </is>
      </c>
      <c r="B17" s="9" t="inlineStr">
        <is>
          <t>設定が適用日付つきで保存され、履歴が積まれる。同じ従業員コードが二重に登録されない</t>
        </is>
      </c>
      <c r="C17" s="9" t="inlineStr">
        <is>
          <t>原則①：原因を追える（変更ソース）</t>
        </is>
      </c>
      <c r="D17" s="10" t="inlineStr">
        <is>
          <t>AC-08</t>
        </is>
      </c>
      <c r="E17" s="11" t="inlineStr">
        <is>
          <t>L1 MVP必須</t>
        </is>
      </c>
      <c r="F17" s="9" t="inlineStr">
        <is>
          <t>変更の経路（変更ソース）が履歴に記録され、絞り込めること</t>
        </is>
      </c>
      <c r="G17" s="9" t="inlineStr">
        <is>
          <t>【T-H02の②】手動編集／更新予約／CSVインポート(KOT)／CSVインポート(ジョブカン)の4種すべてが記録され、絞り込みできる</t>
        </is>
      </c>
      <c r="H17" s="9" t="inlineStr">
        <is>
          <t>不可（数字の異常時に切り分けられない）</t>
        </is>
      </c>
      <c r="I17" s="9" t="inlineStr">
        <is>
          <t>履歴に変更ソース列を持ち、更新経路ごとに値を入れる</t>
        </is>
      </c>
      <c r="J17" s="9" t="inlineStr">
        <is>
          <t>設定変更履歴一覧</t>
        </is>
      </c>
      <c r="K17" s="9" t="inlineStr">
        <is>
          <t>T-H02</t>
        </is>
      </c>
      <c r="L17" s="9" t="inlineStr">
        <is>
          <t>ケース別 ＞ 数字が合わないとき</t>
        </is>
      </c>
      <c r="M17" s="9" t="inlineStr"/>
      <c r="N17" s="9" t="inlineStr">
        <is>
          <t>T-H02.png</t>
        </is>
      </c>
      <c r="O17" s="12" t="inlineStr"/>
      <c r="P17" s="13" t="inlineStr"/>
      <c r="Q17" s="12" t="inlineStr"/>
      <c r="R17" s="12" t="inlineStr"/>
    </row>
    <row r="18" ht="49" customHeight="1">
      <c r="A18" s="9" t="inlineStr">
        <is>
          <t>M1 過去が動かない構造ができる</t>
        </is>
      </c>
      <c r="B18" s="9" t="inlineStr">
        <is>
          <t>設定が適用日付つきで保存され、履歴が積まれる。同じ従業員コードが二重に登録されない</t>
        </is>
      </c>
      <c r="C18" s="9" t="inlineStr">
        <is>
          <t>原則①：適用日と操作日を分ける</t>
        </is>
      </c>
      <c r="D18" s="10" t="inlineStr">
        <is>
          <t>AC-09</t>
        </is>
      </c>
      <c r="E18" s="11" t="inlineStr">
        <is>
          <t>L1 MVP必須</t>
        </is>
      </c>
      <c r="F18" s="9" t="inlineStr">
        <is>
          <t>「いつから効くか」と「いつ操作したか」が別々に残る</t>
        </is>
      </c>
      <c r="G18" s="9" t="inlineStr">
        <is>
          <t>【T-H02の①】予約した行で 変更反映日時 ≠ 編集日時 になる（例：反映8/1・編集6/25）</t>
        </is>
      </c>
      <c r="H18" s="9" t="inlineStr">
        <is>
          <t>不可（監査・顧客説明に答えられない）</t>
        </is>
      </c>
      <c r="I18" s="9" t="inlineStr">
        <is>
          <t>履歴に適用日付と作成日時の2カラムを持つ</t>
        </is>
      </c>
      <c r="J18" s="9" t="inlineStr">
        <is>
          <t>設定変更履歴一覧</t>
        </is>
      </c>
      <c r="K18" s="9" t="inlineStr">
        <is>
          <t>T-H02</t>
        </is>
      </c>
      <c r="L18" s="9" t="inlineStr">
        <is>
          <t>ケース別 ＞ 数字が合わないとき</t>
        </is>
      </c>
      <c r="M18" s="9" t="inlineStr"/>
      <c r="N18" s="9" t="inlineStr">
        <is>
          <t>T-H02.png</t>
        </is>
      </c>
      <c r="O18" s="12" t="inlineStr"/>
      <c r="P18" s="13" t="inlineStr"/>
      <c r="Q18" s="12" t="inlineStr"/>
      <c r="R18" s="12" t="inlineStr"/>
    </row>
    <row r="19" ht="64" customHeight="1">
      <c r="A19" s="9" t="inlineStr">
        <is>
          <t>M1 過去が動かない構造ができる</t>
        </is>
      </c>
      <c r="B19" s="9" t="inlineStr">
        <is>
          <t>設定が適用日付つきで保存され、履歴が積まれる。同じ従業員コードが二重に登録されない</t>
        </is>
      </c>
      <c r="C19" s="9" t="inlineStr">
        <is>
          <t>データ保全：二重登録を防ぐ</t>
        </is>
      </c>
      <c r="D19" s="10" t="inlineStr">
        <is>
          <t>AC-40</t>
        </is>
      </c>
      <c r="E19" s="11" t="inlineStr">
        <is>
          <t>L1 MVP必須</t>
        </is>
      </c>
      <c r="F19" s="9" t="inlineStr">
        <is>
          <t>同じ外部IDが二重に登録されず、同じ従業員に紐づく</t>
        </is>
      </c>
      <c r="G19" s="9" t="inlineStr">
        <is>
          <t>二重登録=0件（同じ外部IDの2回目は更新となり件数が増えない）。1つの外部IDが2つの従業員IDに紐づく=0件</t>
        </is>
      </c>
      <c r="H19" s="9" t="inlineStr">
        <is>
          <t>不可（人件費が二重計上されAC-11が壊れる）</t>
        </is>
      </c>
      <c r="I19" s="9" t="inlineStr">
        <is>
          <t>突合キーは「勤怠システム＋外部ID」。この組で従業員IDを引き、無ければ取込を止める。従業員コードでは突合しない</t>
        </is>
      </c>
      <c r="J19" s="9" t="inlineStr">
        <is>
          <t>設定インポート／実績取込データ</t>
        </is>
      </c>
      <c r="K19" s="9" t="inlineStr">
        <is>
          <t>T-I17 R-01</t>
        </is>
      </c>
      <c r="L19" s="9" t="inlineStr">
        <is>
          <t>よくあるご質問 ＞ CSVの取り込みでエラーになります ／ ケース別 ＞ 数字が合わないとき</t>
        </is>
      </c>
      <c r="M19" s="9" t="inlineStr"/>
      <c r="N19" s="9" t="inlineStr">
        <is>
          <t>T-I17.png</t>
        </is>
      </c>
      <c r="O19" s="12" t="inlineStr"/>
      <c r="P19" s="13" t="inlineStr"/>
      <c r="Q19" s="12" t="inlineStr"/>
      <c r="R19" s="12" t="inlineStr"/>
    </row>
    <row r="20" ht="49" customHeight="1">
      <c r="A20" s="9" t="inlineStr">
        <is>
          <t>M1 過去が動かない構造ができる</t>
        </is>
      </c>
      <c r="B20" s="9" t="inlineStr">
        <is>
          <t>設定が適用日付つきで保存され、履歴が積まれる。同じ従業員コードが二重に登録されない</t>
        </is>
      </c>
      <c r="C20" s="9" t="inlineStr">
        <is>
          <t>原則③：交通費も働いた店舗の実費で</t>
        </is>
      </c>
      <c r="D20" s="10" t="inlineStr">
        <is>
          <t>AC-47</t>
        </is>
      </c>
      <c r="E20" s="11" t="inlineStr">
        <is>
          <t>L1 MVP必須</t>
        </is>
      </c>
      <c r="F20" s="9" t="inlineStr">
        <is>
          <t>ヘルプ先ごとに別々の交通費を設定できる</t>
        </is>
      </c>
      <c r="G20" s="9" t="inlineStr">
        <is>
          <t>選んだ店舗数ぶんの入力欄が出る（EMP-001＝2件：S02=700・S03=900）。1つにまとめられない</t>
        </is>
      </c>
      <c r="H20" s="9" t="inlineStr">
        <is>
          <t>不可（AC-15の店舗別計上が成立せず、遠い店ほど持ち出しになる）</t>
        </is>
      </c>
      <c r="I20" s="9" t="inlineStr">
        <is>
          <t>従業員×ヘルプ先店舗×交通費 を多対多で保持する。従業員に1つの値だけを持たせる実装は不可</t>
        </is>
      </c>
      <c r="J20" s="9" t="inlineStr">
        <is>
          <t>従業員登録／従業員詳細</t>
        </is>
      </c>
      <c r="K20" s="9" t="inlineStr">
        <is>
          <t>T-R04 R-01</t>
        </is>
      </c>
      <c r="L20" s="9" t="inlineStr">
        <is>
          <t>操作手順 ＞ 従業員を登録する ／ ケース別 ＞ 数字が合わないとき</t>
        </is>
      </c>
      <c r="M20" s="9" t="inlineStr"/>
      <c r="N20" s="9" t="inlineStr">
        <is>
          <t>T-R04.png</t>
        </is>
      </c>
      <c r="O20" s="12" t="inlineStr"/>
      <c r="P20" s="13" t="inlineStr"/>
      <c r="Q20" s="12" t="inlineStr"/>
      <c r="R20" s="12" t="inlineStr"/>
    </row>
    <row r="21" ht="64" customHeight="1">
      <c r="A21" s="9" t="inlineStr">
        <is>
          <t>M2 金額が算式どおりに出る</t>
        </is>
      </c>
      <c r="B21" s="9" t="inlineStr">
        <is>
          <t>確定した算式で人件費が計算され、店舗別の合計が全社と一致する</t>
        </is>
      </c>
      <c r="C21" s="9" t="inlineStr">
        <is>
          <t>原則③：人件費は働いた店舗に付ける</t>
        </is>
      </c>
      <c r="D21" s="10" t="inlineStr">
        <is>
          <t>AC-11</t>
        </is>
      </c>
      <c r="E21" s="14" t="inlineStr">
        <is>
          <t>L0 リリース不可</t>
        </is>
      </c>
      <c r="F21" s="9" t="inlineStr">
        <is>
          <t>店舗別の合計が全社の実績給与と一致する</t>
        </is>
      </c>
      <c r="G21" s="9" t="inlineStr">
        <is>
          <t>店舗5店の合計 − 全社 = 0円（1,461,312円）</t>
        </is>
      </c>
      <c r="H21" s="9" t="inlineStr">
        <is>
          <t>★中止（店舗別PLが使えない）</t>
        </is>
      </c>
      <c r="I21" s="9" t="inlineStr">
        <is>
          <t>ヘルプ人件費を「実績給与×ヘルプ時間÷総労働時間」で按分し、端数を所属店舗に寄せる（判断9）。加算のみの実装は不可</t>
        </is>
      </c>
      <c r="J21" s="9" t="inlineStr">
        <is>
          <t>給与実績一覧（月別・実績）</t>
        </is>
      </c>
      <c r="K21" s="9" t="inlineStr">
        <is>
          <t>S-02 C-005 R-04</t>
        </is>
      </c>
      <c r="L21" s="9" t="inlineStr">
        <is>
          <t>ケース別 ＞ 応援（ヘルプ）勤務がある場合 ／ 操作手順 ＞ 人件費の計算方法</t>
        </is>
      </c>
      <c r="M21" s="9" t="inlineStr"/>
      <c r="N21" s="9" t="inlineStr">
        <is>
          <t>S-02.png</t>
        </is>
      </c>
      <c r="O21" s="12" t="inlineStr"/>
      <c r="P21" s="13" t="inlineStr"/>
      <c r="Q21" s="12" t="inlineStr"/>
      <c r="R21" s="12" t="inlineStr"/>
    </row>
    <row r="22" ht="49" customHeight="1">
      <c r="A22" s="9" t="inlineStr">
        <is>
          <t>M2 金額が算式どおりに出る</t>
        </is>
      </c>
      <c r="B22" s="9" t="inlineStr">
        <is>
          <t>確定した算式で人件費が計算され、店舗別の合計が全社と一致する</t>
        </is>
      </c>
      <c r="C22" s="9" t="inlineStr">
        <is>
          <t>原則①：予約が自動で効く</t>
        </is>
      </c>
      <c r="D22" s="10" t="inlineStr">
        <is>
          <t>AC-05</t>
        </is>
      </c>
      <c r="E22" s="11" t="inlineStr">
        <is>
          <t>L1 MVP必須</t>
        </is>
      </c>
      <c r="F22" s="9" t="inlineStr">
        <is>
          <t>適用日を迎えたら自動で切り替わる</t>
        </is>
      </c>
      <c r="G22" s="9" t="inlineStr">
        <is>
          <t>適用日00:00以降に新値・ステータスが「適用中」</t>
        </is>
      </c>
      <c r="H22" s="9" t="inlineStr">
        <is>
          <t>不可（毎日手作業になる）</t>
        </is>
      </c>
      <c r="I22" s="9" t="inlineStr">
        <is>
          <t>日次バッチまたは参照時解決のいずれかで、適用日到来を人手なしに反映する</t>
        </is>
      </c>
      <c r="J22" s="9" t="inlineStr">
        <is>
          <t>従業員一覧／設定履歴</t>
        </is>
      </c>
      <c r="K22" s="9" t="inlineStr">
        <is>
          <t>T-D05</t>
        </is>
      </c>
      <c r="L22" s="9" t="inlineStr">
        <is>
          <t>ケース別 ＞ 給与改定を先の日付で予約する</t>
        </is>
      </c>
      <c r="M22" s="9" t="inlineStr"/>
      <c r="N22" s="9" t="inlineStr">
        <is>
          <t>T-D05.png</t>
        </is>
      </c>
      <c r="O22" s="12" t="inlineStr"/>
      <c r="P22" s="13" t="inlineStr"/>
      <c r="Q22" s="12" t="inlineStr"/>
      <c r="R22" s="12" t="inlineStr"/>
    </row>
    <row r="23" ht="64" customHeight="1">
      <c r="A23" s="9" t="inlineStr">
        <is>
          <t>M2 金額が算式どおりに出る</t>
        </is>
      </c>
      <c r="B23" s="9" t="inlineStr">
        <is>
          <t>確定した算式で人件費が計算され、店舗別の合計が全社と一致する</t>
        </is>
      </c>
      <c r="C23" s="9" t="inlineStr">
        <is>
          <t>計算：算式どおりの金額</t>
        </is>
      </c>
      <c r="D23" s="10" t="inlineStr">
        <is>
          <t>AC-10</t>
        </is>
      </c>
      <c r="E23" s="11" t="inlineStr">
        <is>
          <t>L1 MVP必須</t>
        </is>
      </c>
      <c r="F23" s="9" t="inlineStr">
        <is>
          <t>実績給与が算式の計算値と一致する</t>
        </is>
      </c>
      <c r="G23" s="9" t="inlineStr">
        <is>
          <t>全行で差分=0円（EMP-001=338,000／EMP-002=285,250／EMP-003=144,000／EMP-005=382,812／EMP-007=311,250）</t>
        </is>
      </c>
      <c r="H23" s="9" t="inlineStr">
        <is>
          <t>不可（数字の根拠が説明できない）</t>
        </is>
      </c>
      <c r="I23" s="9" t="inlineStr">
        <is>
          <t>実績給与＝概算給与＋深夜残業代＋みなし超過残業代。交通費は含めない</t>
        </is>
      </c>
      <c r="J23" s="9" t="inlineStr">
        <is>
          <t>給与実績一覧（月別・実績）</t>
        </is>
      </c>
      <c r="K23" s="9" t="inlineStr">
        <is>
          <t>S-02 S-03 T-A02 T-A05 C-001 C-003 C-013</t>
        </is>
      </c>
      <c r="L23" s="9" t="inlineStr">
        <is>
          <t>操作手順 ＞ 毎月の人件費を確定する ／ 操作手順 ＞ 人件費の計算方法 ／ ケース別 ＞ 応援（ヘルプ）勤務がある場合</t>
        </is>
      </c>
      <c r="M23" s="9" t="inlineStr"/>
      <c r="N23" s="9" t="inlineStr">
        <is>
          <t>S-02.png</t>
        </is>
      </c>
      <c r="O23" s="12" t="inlineStr"/>
      <c r="P23" s="13" t="inlineStr"/>
      <c r="Q23" s="12" t="inlineStr"/>
      <c r="R23" s="12" t="inlineStr"/>
    </row>
    <row r="24" ht="49" customHeight="1">
      <c r="A24" s="9" t="inlineStr">
        <is>
          <t>M2 金額が算式どおりに出る</t>
        </is>
      </c>
      <c r="B24" s="9" t="inlineStr">
        <is>
          <t>確定した算式で人件費が計算され、店舗別の合計が全社と一致する</t>
        </is>
      </c>
      <c r="C24" s="9" t="inlineStr">
        <is>
          <t>計算：月中改定の日割り</t>
        </is>
      </c>
      <c r="D24" s="10" t="inlineStr">
        <is>
          <t>AC-12</t>
        </is>
      </c>
      <c r="E24" s="11" t="inlineStr">
        <is>
          <t>L1 MVP必須</t>
        </is>
      </c>
      <c r="F24" s="9" t="inlineStr">
        <is>
          <t>所定労働日割で按分される</t>
        </is>
      </c>
      <c r="G24" s="9" t="inlineStr">
        <is>
          <t>332,727円（320,000×8/22＋340,000×14/22）</t>
        </is>
      </c>
      <c r="H24" s="9" t="inlineStr">
        <is>
          <t>不可（予約機能が実用にならない）</t>
        </is>
      </c>
      <c r="I24" s="9" t="inlineStr">
        <is>
          <t>判断1＝所定労働日割。分母は当月の所定労働日数。暦日割の実装は不可</t>
        </is>
      </c>
      <c r="J24" s="9" t="inlineStr">
        <is>
          <t>給与実績一覧（月別・概算）</t>
        </is>
      </c>
      <c r="K24" s="9" t="inlineStr">
        <is>
          <t>S-02 C-006</t>
        </is>
      </c>
      <c r="L24" s="9" t="inlineStr">
        <is>
          <t>ケース別 ＞ 給与改定を先の日付で予約する</t>
        </is>
      </c>
      <c r="M24" s="9" t="inlineStr"/>
      <c r="N24" s="9" t="inlineStr">
        <is>
          <t>S-02.png</t>
        </is>
      </c>
      <c r="O24" s="12" t="inlineStr"/>
      <c r="P24" s="13" t="inlineStr"/>
      <c r="Q24" s="12" t="inlineStr"/>
      <c r="R24" s="12" t="inlineStr"/>
    </row>
    <row r="25" ht="49" customHeight="1">
      <c r="A25" s="9" t="inlineStr">
        <is>
          <t>M2 金額が算式どおりに出る</t>
        </is>
      </c>
      <c r="B25" s="9" t="inlineStr">
        <is>
          <t>確定した算式で人件費が計算され、店舗別の合計が全社と一致する</t>
        </is>
      </c>
      <c r="C25" s="9" t="inlineStr">
        <is>
          <t>計算：時給者</t>
        </is>
      </c>
      <c r="D25" s="10" t="inlineStr">
        <is>
          <t>AC-13</t>
        </is>
      </c>
      <c r="E25" s="11" t="inlineStr">
        <is>
          <t>L1 MVP必須</t>
        </is>
      </c>
      <c r="F25" s="9" t="inlineStr">
        <is>
          <t>単価×所定労働時間になる</t>
        </is>
      </c>
      <c r="G25" s="9" t="inlineStr">
        <is>
          <t>144,000円（差分0）</t>
        </is>
      </c>
      <c r="H25" s="9" t="inlineStr">
        <is>
          <t>不可（概算が使えない）</t>
        </is>
      </c>
      <c r="I25" s="9" t="inlineStr">
        <is>
          <t>時給者は日割り按分ではなく、各勤務日の有効単価で積む</t>
        </is>
      </c>
      <c r="J25" s="9" t="inlineStr">
        <is>
          <t>給与実績一覧（月別・概算）</t>
        </is>
      </c>
      <c r="K25" s="9" t="inlineStr">
        <is>
          <t>C-011</t>
        </is>
      </c>
      <c r="L25" s="9" t="inlineStr">
        <is>
          <t>操作手順 ＞ 人件費の計算方法</t>
        </is>
      </c>
      <c r="M25" s="9" t="inlineStr"/>
      <c r="N25" s="9" t="inlineStr">
        <is>
          <t>C-011.png</t>
        </is>
      </c>
      <c r="O25" s="12" t="inlineStr"/>
      <c r="P25" s="13" t="inlineStr"/>
      <c r="Q25" s="12" t="inlineStr"/>
      <c r="R25" s="12" t="inlineStr"/>
    </row>
    <row r="26" ht="64" customHeight="1">
      <c r="A26" s="9" t="inlineStr">
        <is>
          <t>M2 金額が算式どおりに出る</t>
        </is>
      </c>
      <c r="B26" s="9" t="inlineStr">
        <is>
          <t>確定した算式で人件費が計算され、店舗別の合計が全社と一致する</t>
        </is>
      </c>
      <c r="C26" s="9" t="inlineStr">
        <is>
          <t>原則③：ヘルプ人件費</t>
        </is>
      </c>
      <c r="D26" s="10" t="inlineStr">
        <is>
          <t>AC-14</t>
        </is>
      </c>
      <c r="E26" s="11" t="inlineStr">
        <is>
          <t>L1 MVP必須</t>
        </is>
      </c>
      <c r="F26" s="9" t="inlineStr">
        <is>
          <t>働いた店舗・その日の有効単価で計算される</t>
        </is>
      </c>
      <c r="G26" s="9" t="inlineStr">
        <is>
          <t>按分額が （概算給与＋深夜残業代＋みなし超過残業代）×ヘルプ時間÷総労働時間 と一致し、そこにヘルプ先の交通費を加えた額がヘルプ人件費になる（差分0円）</t>
        </is>
      </c>
      <c r="H26" s="9" t="inlineStr">
        <is>
          <t>不可（店舗別PLが実態とずれる）</t>
        </is>
      </c>
      <c r="I26" s="9" t="inlineStr">
        <is>
          <t>按分の基礎は交通費を除いた給与部分。交通費は実費なので時間按分しない。ヘルプ先の交通費だけを按分額に足して1つの列に出す</t>
        </is>
      </c>
      <c r="J26" s="9" t="inlineStr">
        <is>
          <t>給与実績一覧（日別）／月別</t>
        </is>
      </c>
      <c r="K26" s="9" t="inlineStr">
        <is>
          <t>C-003 C-013</t>
        </is>
      </c>
      <c r="L26" s="9" t="inlineStr">
        <is>
          <t>ケース別 ＞ 応援（ヘルプ）勤務がある場合 ／ 操作手順 ＞ 人件費の計算方法</t>
        </is>
      </c>
      <c r="M26" s="9" t="inlineStr"/>
      <c r="N26" s="9" t="inlineStr">
        <is>
          <t>C-003.png</t>
        </is>
      </c>
      <c r="O26" s="12" t="inlineStr"/>
      <c r="P26" s="13" t="inlineStr"/>
      <c r="Q26" s="12" t="inlineStr"/>
      <c r="R26" s="12" t="inlineStr"/>
    </row>
    <row r="27" ht="79" customHeight="1">
      <c r="A27" s="9" t="inlineStr">
        <is>
          <t>M2 金額が算式どおりに出る</t>
        </is>
      </c>
      <c r="B27" s="9" t="inlineStr">
        <is>
          <t>確定した算式で人件費が計算され、店舗別の合計が全社と一致する</t>
        </is>
      </c>
      <c r="C27" s="9" t="inlineStr">
        <is>
          <t>原則③：交通費も働いた店舗に付ける</t>
        </is>
      </c>
      <c r="D27" s="10" t="inlineStr">
        <is>
          <t>AC-15</t>
        </is>
      </c>
      <c r="E27" s="11" t="inlineStr">
        <is>
          <t>L1 MVP必須</t>
        </is>
      </c>
      <c r="F27" s="9" t="inlineStr">
        <is>
          <t>交通費が人件費に含まれ、働いた店舗に計上される</t>
        </is>
      </c>
      <c r="G27" s="9" t="inlineStr">
        <is>
          <t>実績給与＝概算給与＋深夜残業代＋みなし超過残業代＋所属店舗の交通費＋ヘルプ先の交通費（差分0円）。ヘルプ先の交通費は応援先に計上され、店舗別合計＝全社（差0円）</t>
        </is>
      </c>
      <c r="H27" s="9" t="inlineStr">
        <is>
          <t>不可（人件費の総額がずれる）</t>
        </is>
      </c>
      <c r="I27" s="9" t="inlineStr">
        <is>
          <t>一覧とエクスポートに交通費の列を出さない。設定側（単位交通費・ヘルプ先交通費）は入力項目として保持し、実績の計算時に人件費へ合算する</t>
        </is>
      </c>
      <c r="J27" s="9" t="inlineStr">
        <is>
          <t>給与実績一覧（月別・日別）／従業員別 給与実績</t>
        </is>
      </c>
      <c r="K27" s="9" t="inlineStr">
        <is>
          <t>S-02 T-R04 C-017</t>
        </is>
      </c>
      <c r="L27" s="9" t="inlineStr">
        <is>
          <t>操作手順 ＞ 従業員を登録する ／ ケース別 ＞ 応援（ヘルプ）勤務がある場合</t>
        </is>
      </c>
      <c r="M27" s="9" t="inlineStr"/>
      <c r="N27" s="9" t="inlineStr">
        <is>
          <t>S-02.png</t>
        </is>
      </c>
      <c r="O27" s="12" t="inlineStr"/>
      <c r="P27" s="13" t="inlineStr"/>
      <c r="Q27" s="12" t="inlineStr"/>
      <c r="R27" s="12" t="inlineStr"/>
    </row>
    <row r="28" ht="79" customHeight="1">
      <c r="A28" s="9" t="inlineStr">
        <is>
          <t>M3 月次を確定して外部へ渡せる</t>
        </is>
      </c>
      <c r="B28" s="9" t="inlineStr">
        <is>
          <t>締めた月は動かず、解除すれば再計算される。締めは会社スコープのみ</t>
        </is>
      </c>
      <c r="C28" s="9" t="inlineStr">
        <is>
          <t>原則②：締めたら動かない</t>
        </is>
      </c>
      <c r="D28" s="10" t="inlineStr">
        <is>
          <t>AC-16</t>
        </is>
      </c>
      <c r="E28" s="14" t="inlineStr">
        <is>
          <t>L0 リリース不可</t>
        </is>
      </c>
      <c r="F28" s="9" t="inlineStr">
        <is>
          <t>締め済みの月の数字が動かない</t>
        </is>
      </c>
      <c r="G28" s="9" t="inlineStr">
        <is>
          <t>当月の実績給与・総労働時間の差分=0円</t>
        </is>
      </c>
      <c r="H28" s="9" t="inlineStr">
        <is>
          <t>★中止（締めの意味が消える）</t>
        </is>
      </c>
      <c r="I28" s="9" t="inlineStr">
        <is>
          <t>締めフラグを持ち、締め済み期間は再計算をスキップする（設定変更・勤怠取込の両方）。スナップショットで固定</t>
        </is>
      </c>
      <c r="J28" s="9" t="inlineStr">
        <is>
          <t>給与実績一覧（月別）</t>
        </is>
      </c>
      <c r="K28" s="9" t="inlineStr">
        <is>
          <t>T-S03 T-S04 C-008 R-02</t>
        </is>
      </c>
      <c r="L28" s="9" t="inlineStr">
        <is>
          <t>操作手順 ＞ 毎月の人件費を確定する ／ よくあるご質問 ＞ 数字・締めについて ／ よくあるご質問 ＞ どなたが操作できますか</t>
        </is>
      </c>
      <c r="M28" s="9" t="inlineStr"/>
      <c r="N28" s="9" t="inlineStr">
        <is>
          <t>T-S03.png</t>
        </is>
      </c>
      <c r="O28" s="12" t="inlineStr"/>
      <c r="P28" s="13" t="inlineStr"/>
      <c r="Q28" s="12" t="inlineStr"/>
      <c r="R28" s="12" t="inlineStr"/>
    </row>
    <row r="29" ht="49" customHeight="1">
      <c r="A29" s="9" t="inlineStr">
        <is>
          <t>M3 月次を確定して外部へ渡せる</t>
        </is>
      </c>
      <c r="B29" s="9" t="inlineStr">
        <is>
          <t>締めた月は動かず、解除すれば再計算される。締めは会社スコープのみ</t>
        </is>
      </c>
      <c r="C29" s="9" t="inlineStr">
        <is>
          <t>原則②：解除で再計算</t>
        </is>
      </c>
      <c r="D29" s="10" t="inlineStr">
        <is>
          <t>AC-17</t>
        </is>
      </c>
      <c r="E29" s="11" t="inlineStr">
        <is>
          <t>L1 MVP必須</t>
        </is>
      </c>
      <c r="F29" s="9" t="inlineStr">
        <is>
          <t>保留されていた変更が反映されて再計算される</t>
        </is>
      </c>
      <c r="G29" s="9" t="inlineStr">
        <is>
          <t>解除後の実績給与＝改定を反映した計算値（差分0円）</t>
        </is>
      </c>
      <c r="H29" s="9" t="inlineStr">
        <is>
          <t>不可（誤りを修正できない）</t>
        </is>
      </c>
      <c r="I29" s="9" t="inlineStr">
        <is>
          <t>解除で締めフラグを落とし、再計算をキューに入れる</t>
        </is>
      </c>
      <c r="J29" s="9" t="inlineStr">
        <is>
          <t>給与実績一覧（月別）</t>
        </is>
      </c>
      <c r="K29" s="9" t="inlineStr">
        <is>
          <t>C-008</t>
        </is>
      </c>
      <c r="L29" s="9" t="inlineStr">
        <is>
          <t>よくあるご質問 ＞ 数字・締めについて</t>
        </is>
      </c>
      <c r="M29" s="9" t="inlineStr"/>
      <c r="N29" s="9" t="inlineStr">
        <is>
          <t>C-008.png</t>
        </is>
      </c>
      <c r="O29" s="12" t="inlineStr"/>
      <c r="P29" s="13" t="inlineStr"/>
      <c r="Q29" s="12" t="inlineStr"/>
      <c r="R29" s="12" t="inlineStr"/>
    </row>
    <row r="30" ht="49" customHeight="1">
      <c r="A30" s="9" t="inlineStr">
        <is>
          <t>M3 月次を確定して外部へ渡せる</t>
        </is>
      </c>
      <c r="B30" s="9" t="inlineStr">
        <is>
          <t>締めた月は動かず、解除すれば再計算される。締めは会社スコープのみ</t>
        </is>
      </c>
      <c r="C30" s="9" t="inlineStr">
        <is>
          <t>原則②：締めの単位は月</t>
        </is>
      </c>
      <c r="D30" s="10" t="inlineStr">
        <is>
          <t>AC-18</t>
        </is>
      </c>
      <c r="E30" s="11" t="inlineStr">
        <is>
          <t>L1 MVP必須</t>
        </is>
      </c>
      <c r="F30" s="9" t="inlineStr">
        <is>
          <t>締めは月別タブにのみ表示される</t>
        </is>
      </c>
      <c r="G30" s="9" t="inlineStr">
        <is>
          <t>日別タブでの表示=0</t>
        </is>
      </c>
      <c r="H30" s="9" t="inlineStr">
        <is>
          <t>条件付きGo可（誤解を招くが実害は小さい）</t>
        </is>
      </c>
      <c r="I30" s="9" t="inlineStr">
        <is>
          <t>日別タブに締めUIを置かない</t>
        </is>
      </c>
      <c r="J30" s="9" t="inlineStr">
        <is>
          <t>給与実績一覧</t>
        </is>
      </c>
      <c r="K30" s="9" t="inlineStr">
        <is>
          <t>T-S01</t>
        </is>
      </c>
      <c r="L30" s="9" t="inlineStr">
        <is>
          <t>操作手順 ＞ 毎月の人件費を確定する</t>
        </is>
      </c>
      <c r="M30" s="9" t="inlineStr"/>
      <c r="N30" s="9" t="inlineStr">
        <is>
          <t>T-S01.png</t>
        </is>
      </c>
      <c r="O30" s="12" t="inlineStr"/>
      <c r="P30" s="13" t="inlineStr"/>
      <c r="Q30" s="12" t="inlineStr"/>
      <c r="R30" s="12" t="inlineStr"/>
    </row>
    <row r="31" ht="49" customHeight="1">
      <c r="A31" s="9" t="inlineStr">
        <is>
          <t>M3 月次を確定して外部へ渡せる</t>
        </is>
      </c>
      <c r="B31" s="9" t="inlineStr">
        <is>
          <t>締めた月は動かず、解除すれば再計算される。締めは会社スコープのみ</t>
        </is>
      </c>
      <c r="C31" s="9" t="inlineStr">
        <is>
          <t>原則②：確定操作は確認を経る</t>
        </is>
      </c>
      <c r="D31" s="10" t="inlineStr">
        <is>
          <t>AC-19</t>
        </is>
      </c>
      <c r="E31" s="11" t="inlineStr">
        <is>
          <t>L1 MVP必須</t>
        </is>
      </c>
      <c r="F31" s="9" t="inlineStr">
        <is>
          <t>実行前に確認が入る</t>
        </is>
      </c>
      <c r="G31" s="9" t="inlineStr">
        <is>
          <t>確認モーダル=各1回</t>
        </is>
      </c>
      <c r="H31" s="9" t="inlineStr">
        <is>
          <t>条件付きGo可（誤操作リスクは残る）</t>
        </is>
      </c>
      <c r="I31" s="9" t="inlineStr">
        <is>
          <t>締め・解除ともに確認を挟む</t>
        </is>
      </c>
      <c r="J31" s="9" t="inlineStr">
        <is>
          <t>給与実績一覧（月別）</t>
        </is>
      </c>
      <c r="K31" s="9" t="inlineStr">
        <is>
          <t>T-S03 T-S05</t>
        </is>
      </c>
      <c r="L31" s="9" t="inlineStr">
        <is>
          <t>操作手順 ＞ 毎月の人件費を確定する ／ よくあるご質問 ＞ 数字・締めについて</t>
        </is>
      </c>
      <c r="M31" s="9" t="inlineStr"/>
      <c r="N31" s="9" t="inlineStr">
        <is>
          <t>T-S03.png</t>
        </is>
      </c>
      <c r="O31" s="12" t="inlineStr"/>
      <c r="P31" s="13" t="inlineStr"/>
      <c r="Q31" s="12" t="inlineStr"/>
      <c r="R31" s="12" t="inlineStr"/>
    </row>
    <row r="32" ht="49" customHeight="1">
      <c r="A32" s="9" t="inlineStr">
        <is>
          <t>M3 月次を確定して外部へ渡せる</t>
        </is>
      </c>
      <c r="B32" s="9" t="inlineStr">
        <is>
          <t>締めた月は動かず、解除すれば再計算される。締めは会社スコープのみ</t>
        </is>
      </c>
      <c r="C32" s="9" t="inlineStr">
        <is>
          <t>原則②：遡及は黙って捨てない</t>
        </is>
      </c>
      <c r="D32" s="10" t="inlineStr">
        <is>
          <t>AC-20</t>
        </is>
      </c>
      <c r="E32" s="11" t="inlineStr">
        <is>
          <t>L1 MVP必須</t>
        </is>
      </c>
      <c r="F32" s="9" t="inlineStr">
        <is>
          <t>警告が出て、黙って無視されない</t>
        </is>
      </c>
      <c r="G32" s="9" t="inlineStr">
        <is>
          <t>警告なしの保存=0件</t>
        </is>
      </c>
      <c r="H32" s="9" t="inlineStr">
        <is>
          <t>不可（支払額と乖離する）</t>
        </is>
      </c>
      <c r="I32" s="9" t="inlineStr">
        <is>
          <t>締め済み期間への適用を検出して警告。既定は将来適用へ寄せる</t>
        </is>
      </c>
      <c r="J32" s="9" t="inlineStr">
        <is>
          <t>従業員詳細</t>
        </is>
      </c>
      <c r="K32" s="9" t="inlineStr">
        <is>
          <t>T-D07</t>
        </is>
      </c>
      <c r="L32" s="9" t="inlineStr">
        <is>
          <t>ケース別 ＞ 締めたあとに給与改定が決まったとき</t>
        </is>
      </c>
      <c r="M32" s="9" t="inlineStr"/>
      <c r="N32" s="9" t="inlineStr">
        <is>
          <t>T-D07.png</t>
        </is>
      </c>
      <c r="O32" s="12" t="inlineStr"/>
      <c r="P32" s="13" t="inlineStr"/>
      <c r="Q32" s="12" t="inlineStr"/>
      <c r="R32" s="12" t="inlineStr"/>
    </row>
    <row r="33" ht="49" customHeight="1">
      <c r="A33" s="9" t="inlineStr">
        <is>
          <t>M3 月次を確定して外部へ渡せる</t>
        </is>
      </c>
      <c r="B33" s="9" t="inlineStr">
        <is>
          <t>締めた月は動かず、解除すれば再計算される。締めは会社スコープのみ</t>
        </is>
      </c>
      <c r="C33" s="9" t="inlineStr">
        <is>
          <t>原則②：締めは会社スコープのみ</t>
        </is>
      </c>
      <c r="D33" s="10" t="inlineStr">
        <is>
          <t>AC-41</t>
        </is>
      </c>
      <c r="E33" s="11" t="inlineStr">
        <is>
          <t>L1 MVP必須</t>
        </is>
      </c>
      <c r="F33" s="9" t="inlineStr">
        <is>
          <t>店長は締めを実行できない</t>
        </is>
      </c>
      <c r="G33" s="9" t="inlineStr">
        <is>
          <t>店長での締め実行=0件（ボタン非表示または拒否）</t>
        </is>
      </c>
      <c r="H33" s="9" t="inlineStr">
        <is>
          <t>不可（月次が店舗ごとに分断される）</t>
        </is>
      </c>
      <c r="I33" s="9" t="inlineStr">
        <is>
          <t>締めAPIを会社スコープ権限で制限。画面側だけで隠さない</t>
        </is>
      </c>
      <c r="J33" s="9" t="inlineStr">
        <is>
          <t>給与実績一覧（月別）</t>
        </is>
      </c>
      <c r="K33" s="9" t="inlineStr">
        <is>
          <t>T-S07 R-02</t>
        </is>
      </c>
      <c r="L33" s="9" t="inlineStr">
        <is>
          <t>よくあるご質問 ＞ どなたが操作できますか</t>
        </is>
      </c>
      <c r="M33" s="9" t="inlineStr"/>
      <c r="N33" s="9" t="inlineStr">
        <is>
          <t>T-S07.png</t>
        </is>
      </c>
      <c r="O33" s="12" t="inlineStr"/>
      <c r="P33" s="13" t="inlineStr"/>
      <c r="Q33" s="12" t="inlineStr"/>
      <c r="R33" s="12" t="inlineStr"/>
    </row>
    <row r="34" ht="49" customHeight="1">
      <c r="A34" s="9" t="inlineStr">
        <is>
          <t>M4 顧客とCSが自分で運用できる</t>
        </is>
      </c>
      <c r="B34" s="9" t="inlineStr">
        <is>
          <t>CSVで取り込め、必要な項目だけ出力でき、数字がおかしいときに原因を追える</t>
        </is>
      </c>
      <c r="C34" s="9" t="inlineStr">
        <is>
          <t>入出力：導入を止めない</t>
        </is>
      </c>
      <c r="D34" s="10" t="inlineStr">
        <is>
          <t>AC-21</t>
        </is>
      </c>
      <c r="E34" s="11" t="inlineStr">
        <is>
          <t>L1 MVP必須</t>
        </is>
      </c>
      <c r="F34" s="9" t="inlineStr">
        <is>
          <t>KOT形式のCSVが全行取り込める</t>
        </is>
      </c>
      <c r="G34" s="9" t="inlineStr">
        <is>
          <t>取込成功=3行</t>
        </is>
      </c>
      <c r="H34" s="9" t="inlineStr">
        <is>
          <t>不可（導入時に手入力になる）</t>
        </is>
      </c>
      <c r="I34" s="9" t="inlineStr">
        <is>
          <t>ヘッダー名で列を解決。テンプレートDLの列と一致させる</t>
        </is>
      </c>
      <c r="J34" s="9" t="inlineStr">
        <is>
          <t>設定インポート</t>
        </is>
      </c>
      <c r="K34" s="9" t="inlineStr">
        <is>
          <t>T-I02 T-I03</t>
        </is>
      </c>
      <c r="L34" s="9" t="inlineStr">
        <is>
          <t>操作手順 ＞ はじめて設定する</t>
        </is>
      </c>
      <c r="M34" s="9" t="inlineStr"/>
      <c r="N34" s="9" t="inlineStr">
        <is>
          <t>T-I02.png</t>
        </is>
      </c>
      <c r="O34" s="12" t="inlineStr"/>
      <c r="P34" s="13" t="inlineStr"/>
      <c r="Q34" s="12" t="inlineStr"/>
      <c r="R34" s="12" t="inlineStr"/>
    </row>
    <row r="35" ht="49" customHeight="1">
      <c r="A35" s="9" t="inlineStr">
        <is>
          <t>M4 顧客とCSが自分で運用できる</t>
        </is>
      </c>
      <c r="B35" s="9" t="inlineStr">
        <is>
          <t>CSVで取り込め、必要な項目だけ出力でき、数字がおかしいときに原因を追える</t>
        </is>
      </c>
      <c r="C35" s="9" t="inlineStr">
        <is>
          <t>入出力：表記ゆれを吸収</t>
        </is>
      </c>
      <c r="D35" s="10" t="inlineStr">
        <is>
          <t>AC-22</t>
        </is>
      </c>
      <c r="E35" s="11" t="inlineStr">
        <is>
          <t>L1 MVP必須</t>
        </is>
      </c>
      <c r="F35" s="9" t="inlineStr">
        <is>
          <t>表記ゆれのヘッダーでも取り込める</t>
        </is>
      </c>
      <c r="G35" s="9" t="inlineStr">
        <is>
          <t>取込成功=3行</t>
        </is>
      </c>
      <c r="H35" s="9" t="inlineStr">
        <is>
          <t>不可（ジョブカン顧客の導入が止まる）</t>
        </is>
      </c>
      <c r="I35" s="9" t="inlineStr">
        <is>
          <t>列マッピングで吸収する（コードに列名を埋め込まない）</t>
        </is>
      </c>
      <c r="J35" s="9" t="inlineStr">
        <is>
          <t>設定インポート</t>
        </is>
      </c>
      <c r="K35" s="9" t="inlineStr">
        <is>
          <t>T-I04 R-05</t>
        </is>
      </c>
      <c r="L35" s="9" t="inlineStr">
        <is>
          <t>操作手順 ＞ はじめて設定する ／ ケース別 ＞ CSVの列名がラクミーと違うとき</t>
        </is>
      </c>
      <c r="M35" s="9" t="inlineStr"/>
      <c r="N35" s="9" t="inlineStr">
        <is>
          <t>T-I04.png</t>
        </is>
      </c>
      <c r="O35" s="12" t="inlineStr"/>
      <c r="P35" s="13" t="inlineStr"/>
      <c r="Q35" s="12" t="inlineStr"/>
      <c r="R35" s="12" t="inlineStr"/>
    </row>
    <row r="36" ht="64" customHeight="1">
      <c r="A36" s="9" t="inlineStr">
        <is>
          <t>M4 顧客とCSが自分で運用できる</t>
        </is>
      </c>
      <c r="B36" s="9" t="inlineStr">
        <is>
          <t>CSVで取り込め、必要な項目だけ出力でき、数字がおかしいときに原因を追える</t>
        </is>
      </c>
      <c r="C36" s="9" t="inlineStr">
        <is>
          <t>データ保全：不正値を入れない</t>
        </is>
      </c>
      <c r="D36" s="10" t="inlineStr">
        <is>
          <t>AC-23</t>
        </is>
      </c>
      <c r="E36" s="11" t="inlineStr">
        <is>
          <t>L1 MVP必須</t>
        </is>
      </c>
      <c r="F36" s="9" t="inlineStr">
        <is>
          <t>異常が検出され、不正な値が登録されない</t>
        </is>
      </c>
      <c r="G36" s="9" t="inlineStr">
        <is>
          <t>4行すべて検出（見逃し=0）</t>
        </is>
      </c>
      <c r="H36" s="9" t="inlineStr">
        <is>
          <t>不可（マスタが壊れ人件費が狂う）</t>
        </is>
      </c>
      <c r="I36" s="9" t="inlineStr">
        <is>
          <t>コード欠落／負値／未登録店舗／型不正／未定義の雇用区分をサーバ側で検証</t>
        </is>
      </c>
      <c r="J36" s="9" t="inlineStr">
        <is>
          <t>設定インポート</t>
        </is>
      </c>
      <c r="K36" s="9" t="inlineStr">
        <is>
          <t>T-I05 R-03</t>
        </is>
      </c>
      <c r="L36" s="9" t="inlineStr">
        <is>
          <t>よくあるご質問 ＞ CSVの取り込みでエラーになります ／ よくあるご質問 ＞ 設定が保存できません</t>
        </is>
      </c>
      <c r="M36" s="9" t="inlineStr"/>
      <c r="N36" s="9" t="inlineStr">
        <is>
          <t>T-I05.png</t>
        </is>
      </c>
      <c r="O36" s="12" t="inlineStr"/>
      <c r="P36" s="13" t="inlineStr"/>
      <c r="Q36" s="12" t="inlineStr"/>
      <c r="R36" s="12" t="inlineStr"/>
    </row>
    <row r="37" ht="49" customHeight="1">
      <c r="A37" s="9" t="inlineStr">
        <is>
          <t>M4 顧客とCSが自分で運用できる</t>
        </is>
      </c>
      <c r="B37" s="9" t="inlineStr">
        <is>
          <t>CSVで取り込め、必要な項目だけ出力でき、数字がおかしいときに原因を追える</t>
        </is>
      </c>
      <c r="C37" s="9" t="inlineStr">
        <is>
          <t>入出力：CSが自走できる</t>
        </is>
      </c>
      <c r="D37" s="10" t="inlineStr">
        <is>
          <t>AC-24</t>
        </is>
      </c>
      <c r="E37" s="11" t="inlineStr">
        <is>
          <t>L1 MVP必須</t>
        </is>
      </c>
      <c r="F37" s="9" t="inlineStr">
        <is>
          <t>保存して再利用できる</t>
        </is>
      </c>
      <c r="G37" s="9" t="inlineStr">
        <is>
          <t>保存済みテンプレート選択時の手入力=0項目。「全解除」で取込チェックが一括で外れる</t>
        </is>
      </c>
      <c r="H37" s="9" t="inlineStr">
        <is>
          <t>条件付きGo可（都度マッピングで代替）</t>
        </is>
      </c>
      <c r="I37" s="9" t="inlineStr">
        <is>
          <t>マッピングを保存・適用できる。開発なしで新形式に対応できる</t>
        </is>
      </c>
      <c r="J37" s="9" t="inlineStr">
        <is>
          <t>列マッピングテンプレート</t>
        </is>
      </c>
      <c r="K37" s="9" t="inlineStr">
        <is>
          <t>T-I09 R-05</t>
        </is>
      </c>
      <c r="L37" s="9" t="inlineStr">
        <is>
          <t>ケース別 ＞ CSVの列名がラクミーと違うとき</t>
        </is>
      </c>
      <c r="M37" s="9" t="inlineStr"/>
      <c r="N37" s="9" t="inlineStr">
        <is>
          <t>T-I09.png</t>
        </is>
      </c>
      <c r="O37" s="12" t="inlineStr"/>
      <c r="P37" s="13" t="inlineStr"/>
      <c r="Q37" s="12" t="inlineStr"/>
      <c r="R37" s="12" t="inlineStr"/>
    </row>
    <row r="38" ht="49" customHeight="1">
      <c r="A38" s="9" t="inlineStr">
        <is>
          <t>M4 顧客とCSが自分で運用できる</t>
        </is>
      </c>
      <c r="B38" s="9" t="inlineStr">
        <is>
          <t>CSVで取り込め、必要な項目だけ出力でき、数字がおかしいときに原因を追える</t>
        </is>
      </c>
      <c r="C38" s="9" t="inlineStr">
        <is>
          <t>入出力：渡し先に合わせて出せる</t>
        </is>
      </c>
      <c r="D38" s="10" t="inlineStr">
        <is>
          <t>AC-25</t>
        </is>
      </c>
      <c r="E38" s="11" t="inlineStr">
        <is>
          <t>L1 MVP必須</t>
        </is>
      </c>
      <c r="F38" s="9" t="inlineStr">
        <is>
          <t>選んだ項目だけが出力される</t>
        </is>
      </c>
      <c r="G38" s="9" t="inlineStr">
        <is>
          <t>出力の列＝チェックした項目（過不足=0列）</t>
        </is>
      </c>
      <c r="H38" s="9" t="inlineStr">
        <is>
          <t>不可（不要な給与情報が渡し先に漏れる）</t>
        </is>
      </c>
      <c r="I38" s="9" t="inlineStr">
        <is>
          <t>選択した列のみを生成する（固定フォーマットにしない）</t>
        </is>
      </c>
      <c r="J38" s="9" t="inlineStr">
        <is>
          <t>設定・実績エクスポート</t>
        </is>
      </c>
      <c r="K38" s="9" t="inlineStr">
        <is>
          <t>T-E04 T-E09</t>
        </is>
      </c>
      <c r="L38" s="9" t="inlineStr">
        <is>
          <t>操作手順 ＞ データを出力する</t>
        </is>
      </c>
      <c r="M38" s="9" t="inlineStr"/>
      <c r="N38" s="9" t="inlineStr">
        <is>
          <t>T-E04.png</t>
        </is>
      </c>
      <c r="O38" s="12" t="inlineStr"/>
      <c r="P38" s="13" t="inlineStr"/>
      <c r="Q38" s="12" t="inlineStr"/>
      <c r="R38" s="12" t="inlineStr"/>
    </row>
    <row r="39" ht="49" customHeight="1">
      <c r="A39" s="9" t="inlineStr">
        <is>
          <t>M4 顧客とCSが自分で運用できる</t>
        </is>
      </c>
      <c r="B39" s="9" t="inlineStr">
        <is>
          <t>CSVで取り込め、必要な項目だけ出力でき、数字がおかしいときに原因を追える</t>
        </is>
      </c>
      <c r="C39" s="9" t="inlineStr">
        <is>
          <t>入出力：対象ごとに分ける</t>
        </is>
      </c>
      <c r="D39" s="10" t="inlineStr">
        <is>
          <t>AC-26</t>
        </is>
      </c>
      <c r="E39" s="11" t="inlineStr">
        <is>
          <t>L1 MVP必須</t>
        </is>
      </c>
      <c r="F39" s="9" t="inlineStr">
        <is>
          <t>対象ごとにファイルが分かれる</t>
        </is>
      </c>
      <c r="G39" s="9" t="inlineStr">
        <is>
          <t>ファイル数=2</t>
        </is>
      </c>
      <c r="H39" s="9" t="inlineStr">
        <is>
          <t>条件付きGo可（手作業で分割）</t>
        </is>
      </c>
      <c r="I39" s="9" t="inlineStr">
        <is>
          <t>対象ごとにファイルを生成する</t>
        </is>
      </c>
      <c r="J39" s="9" t="inlineStr">
        <is>
          <t>設定・実績エクスポート</t>
        </is>
      </c>
      <c r="K39" s="9" t="inlineStr">
        <is>
          <t>T-E04</t>
        </is>
      </c>
      <c r="L39" s="9" t="inlineStr">
        <is>
          <t>操作手順 ＞ データを出力する</t>
        </is>
      </c>
      <c r="M39" s="9" t="inlineStr"/>
      <c r="N39" s="9" t="inlineStr">
        <is>
          <t>T-E04.png</t>
        </is>
      </c>
      <c r="O39" s="12" t="inlineStr"/>
      <c r="P39" s="13" t="inlineStr"/>
      <c r="Q39" s="12" t="inlineStr"/>
      <c r="R39" s="12" t="inlineStr"/>
    </row>
    <row r="40" ht="49" customHeight="1">
      <c r="A40" s="9" t="inlineStr">
        <is>
          <t>M4 顧客とCSが自分で運用できる</t>
        </is>
      </c>
      <c r="B40" s="9" t="inlineStr">
        <is>
          <t>CSVで取り込め、必要な項目だけ出力でき、数字がおかしいときに原因を追える</t>
        </is>
      </c>
      <c r="C40" s="9" t="inlineStr">
        <is>
          <t>入出力：空振りを防ぐ</t>
        </is>
      </c>
      <c r="D40" s="10" t="inlineStr">
        <is>
          <t>AC-27</t>
        </is>
      </c>
      <c r="E40" s="11" t="inlineStr">
        <is>
          <t>L1 MVP必須</t>
        </is>
      </c>
      <c r="F40" s="9" t="inlineStr">
        <is>
          <t>出力されず警告が出る</t>
        </is>
      </c>
      <c r="G40" s="9" t="inlineStr">
        <is>
          <t>未選択での出力=0件</t>
        </is>
      </c>
      <c r="H40" s="9" t="inlineStr">
        <is>
          <t>条件付きGo可</t>
        </is>
      </c>
      <c r="I40" s="9" t="inlineStr">
        <is>
          <t>出力前に選択状態を検証する</t>
        </is>
      </c>
      <c r="J40" s="9" t="inlineStr">
        <is>
          <t>設定・実績エクスポート</t>
        </is>
      </c>
      <c r="K40" s="9" t="inlineStr">
        <is>
          <t>T-E07</t>
        </is>
      </c>
      <c r="L40" s="9" t="inlineStr">
        <is>
          <t>操作手順 ＞ データを出力する</t>
        </is>
      </c>
      <c r="M40" s="9" t="inlineStr"/>
      <c r="N40" s="9" t="inlineStr">
        <is>
          <t>T-E07.png</t>
        </is>
      </c>
      <c r="O40" s="12" t="inlineStr"/>
      <c r="P40" s="13" t="inlineStr"/>
      <c r="Q40" s="12" t="inlineStr"/>
      <c r="R40" s="12" t="inlineStr"/>
    </row>
    <row r="41" ht="49" customHeight="1">
      <c r="A41" s="9" t="inlineStr">
        <is>
          <t>M4 顧客とCSが自分で運用できる</t>
        </is>
      </c>
      <c r="B41" s="9" t="inlineStr">
        <is>
          <t>CSVで取り込め、必要な項目だけ出力でき、数字がおかしいときに原因を追える</t>
        </is>
      </c>
      <c r="C41" s="9" t="inlineStr">
        <is>
          <t>入出力：そのまま提出できる</t>
        </is>
      </c>
      <c r="D41" s="10" t="inlineStr">
        <is>
          <t>AC-28</t>
        </is>
      </c>
      <c r="E41" s="11" t="inlineStr">
        <is>
          <t>L1 MVP必須</t>
        </is>
      </c>
      <c r="F41" s="9" t="inlineStr">
        <is>
          <t>文字化けしない</t>
        </is>
      </c>
      <c r="G41" s="9" t="inlineStr">
        <is>
          <t>文字化け=0箇所</t>
        </is>
      </c>
      <c r="H41" s="9" t="inlineStr">
        <is>
          <t>不可（外部提出に使えない）</t>
        </is>
      </c>
      <c r="I41" s="9" t="inlineStr">
        <is>
          <t>BOM付きUTF-8で出力する</t>
        </is>
      </c>
      <c r="J41" s="9" t="inlineStr">
        <is>
          <t>設定・実績エクスポート</t>
        </is>
      </c>
      <c r="K41" s="9" t="inlineStr">
        <is>
          <t>T-E08</t>
        </is>
      </c>
      <c r="L41" s="9" t="inlineStr">
        <is>
          <t>操作手順 ＞ データを出力する</t>
        </is>
      </c>
      <c r="M41" s="9" t="inlineStr"/>
      <c r="N41" s="9" t="inlineStr">
        <is>
          <t>T-E08.png</t>
        </is>
      </c>
      <c r="O41" s="12" t="inlineStr"/>
      <c r="P41" s="13" t="inlineStr"/>
      <c r="Q41" s="12" t="inlineStr"/>
      <c r="R41" s="12" t="inlineStr"/>
    </row>
    <row r="42" ht="49" customHeight="1">
      <c r="A42" s="9" t="inlineStr">
        <is>
          <t>M4 顧客とCSが自分で運用できる</t>
        </is>
      </c>
      <c r="B42" s="9" t="inlineStr">
        <is>
          <t>CSVで取り込め、必要な項目だけ出力でき、数字がおかしいときに原因を追える</t>
        </is>
      </c>
      <c r="C42" s="9" t="inlineStr">
        <is>
          <t>画面：たどり着ける</t>
        </is>
      </c>
      <c r="D42" s="10" t="inlineStr">
        <is>
          <t>AC-29</t>
        </is>
      </c>
      <c r="E42" s="11" t="inlineStr">
        <is>
          <t>L1 MVP必須</t>
        </is>
      </c>
      <c r="F42" s="9" t="inlineStr">
        <is>
          <t>2グループ7項目が表示される</t>
        </is>
      </c>
      <c r="G42" s="9" t="inlineStr">
        <is>
          <t>欠落=0</t>
        </is>
      </c>
      <c r="H42" s="9" t="inlineStr">
        <is>
          <t>不可（画面に到達できない）</t>
        </is>
      </c>
      <c r="I42" s="9" t="inlineStr">
        <is>
          <t>閲覧・管理3／データ連携4でグループ化</t>
        </is>
      </c>
      <c r="J42" s="9" t="inlineStr">
        <is>
          <t>サイドバー</t>
        </is>
      </c>
      <c r="K42" s="9" t="inlineStr">
        <is>
          <t>T-Z04</t>
        </is>
      </c>
      <c r="L42" s="9" t="inlineStr"/>
      <c r="M42" s="9" t="inlineStr"/>
      <c r="N42" s="9" t="inlineStr">
        <is>
          <t>T-Z04.png</t>
        </is>
      </c>
      <c r="O42" s="12" t="inlineStr"/>
      <c r="P42" s="13" t="inlineStr"/>
      <c r="Q42" s="12" t="inlineStr"/>
      <c r="R42" s="12" t="inlineStr"/>
    </row>
    <row r="43" ht="154" customHeight="1">
      <c r="A43" s="9" t="inlineStr">
        <is>
          <t>M4 顧客とCSが自分で運用できる</t>
        </is>
      </c>
      <c r="B43" s="9" t="inlineStr">
        <is>
          <t>CSVで取り込め、必要な項目だけ出力でき、数字がおかしいときに原因を追える</t>
        </is>
      </c>
      <c r="C43" s="9" t="inlineStr">
        <is>
          <t>画面：操作が最後まで通る</t>
        </is>
      </c>
      <c r="D43" s="10" t="inlineStr">
        <is>
          <t>AC-30</t>
        </is>
      </c>
      <c r="E43" s="11" t="inlineStr">
        <is>
          <t>L1 MVP必須</t>
        </is>
      </c>
      <c r="F43" s="9" t="inlineStr">
        <is>
          <t>仕様書 第2部の遷移どおりに画面が繋がる（取込データ⇄給与実績一覧の相互導線を含む）</t>
        </is>
      </c>
      <c r="G43" s="9" t="inlineStr">
        <is>
          <t>不通=0</t>
        </is>
      </c>
      <c r="H43" s="9" t="inlineStr">
        <is>
          <t>不可（フローが途中で切れる）</t>
        </is>
      </c>
      <c r="I43" s="9" t="inlineStr">
        <is>
          <t>キャンセル・戻る・エラー時の遷移を含めて実装する</t>
        </is>
      </c>
      <c r="J43" s="9" t="inlineStr">
        <is>
          <t>全画面</t>
        </is>
      </c>
      <c r="K43" s="9" t="inlineStr">
        <is>
          <t>T-L06 T-R07 T-D08 T-H04 T-I02 T-I09 T-E04 T-N03 T-Z05</t>
        </is>
      </c>
      <c r="L43" s="9" t="inlineStr">
        <is>
          <t>操作手順 ＞ 従業員を探す・削除する ／ 操作手順 ＞ 従業員を登録する ／ ケース別 ＞ 数字が合わないとき ／ 操作手順 ＞ はじめて設定する ／ ケース別 ＞ CSVの列名がラクミーと違うとき ／ 操作手順 ＞ データを出力する ／ 操作手順 ＞ 取り込んだ元データを確認する</t>
        </is>
      </c>
      <c r="M43" s="9" t="inlineStr"/>
      <c r="N43" s="9" t="inlineStr">
        <is>
          <t>T-L06.png</t>
        </is>
      </c>
      <c r="O43" s="12" t="inlineStr"/>
      <c r="P43" s="13" t="inlineStr"/>
      <c r="Q43" s="12" t="inlineStr"/>
      <c r="R43" s="12" t="inlineStr"/>
    </row>
    <row r="44" ht="49" customHeight="1">
      <c r="A44" s="9" t="inlineStr">
        <is>
          <t>M4 顧客とCSが自分で運用できる</t>
        </is>
      </c>
      <c r="B44" s="9" t="inlineStr">
        <is>
          <t>CSVで取り込め、必要な項目だけ出力でき、数字がおかしいときに原因を追える</t>
        </is>
      </c>
      <c r="C44" s="9" t="inlineStr">
        <is>
          <t>画面：対象を探せる</t>
        </is>
      </c>
      <c r="D44" s="10" t="inlineStr">
        <is>
          <t>AC-33</t>
        </is>
      </c>
      <c r="E44" s="11" t="inlineStr">
        <is>
          <t>L1 MVP必須</t>
        </is>
      </c>
      <c r="F44" s="9" t="inlineStr">
        <is>
          <t>フィルタで対象を絞り込める</t>
        </is>
      </c>
      <c r="G44" s="9" t="inlineStr">
        <is>
          <t>各条件で絞り込みが効く（無反応=0）</t>
        </is>
      </c>
      <c r="H44" s="9" t="inlineStr">
        <is>
          <t>条件付きGo可（件数が少ないうちは実害小）</t>
        </is>
      </c>
      <c r="I44" s="9" t="inlineStr">
        <is>
          <t>1段目=絞り込み、2段目=対象データとして独立に効かせる</t>
        </is>
      </c>
      <c r="J44" s="9" t="inlineStr">
        <is>
          <t>従業員一覧／設定履歴</t>
        </is>
      </c>
      <c r="K44" s="9" t="inlineStr">
        <is>
          <t>T-L08 T-H04</t>
        </is>
      </c>
      <c r="L44" s="9" t="inlineStr">
        <is>
          <t>操作手順 ＞ 従業員を探す・削除する ／ ケース別 ＞ 数字が合わないとき</t>
        </is>
      </c>
      <c r="M44" s="9" t="inlineStr"/>
      <c r="N44" s="9" t="inlineStr">
        <is>
          <t>T-L08.png</t>
        </is>
      </c>
      <c r="O44" s="12" t="inlineStr"/>
      <c r="P44" s="13" t="inlineStr"/>
      <c r="Q44" s="12" t="inlineStr"/>
      <c r="R44" s="12" t="inlineStr"/>
    </row>
    <row r="45" ht="49" customHeight="1">
      <c r="A45" s="9" t="inlineStr">
        <is>
          <t>M4 顧客とCSが自分で運用できる</t>
        </is>
      </c>
      <c r="B45" s="9" t="inlineStr">
        <is>
          <t>CSVで取り込め、必要な項目だけ出力でき、数字がおかしいときに原因を追える</t>
        </is>
      </c>
      <c r="C45" s="9" t="inlineStr">
        <is>
          <t>データ保全：消える操作は確認を経る</t>
        </is>
      </c>
      <c r="D45" s="10" t="inlineStr">
        <is>
          <t>AC-34</t>
        </is>
      </c>
      <c r="E45" s="11" t="inlineStr">
        <is>
          <t>L1 MVP必須</t>
        </is>
      </c>
      <c r="F45" s="9" t="inlineStr">
        <is>
          <t>確認を経てのみ削除される</t>
        </is>
      </c>
      <c r="G45" s="9" t="inlineStr">
        <is>
          <t>確認なしの削除=0件、キャンセル時の削除=0件</t>
        </is>
      </c>
      <c r="H45" s="9" t="inlineStr">
        <is>
          <t>不可（誤操作で過去の紐付けが失われる）</t>
        </is>
      </c>
      <c r="I45" s="9" t="inlineStr">
        <is>
          <t>削除前に確認ダイアログ。キャンセルでリクエストを送らない</t>
        </is>
      </c>
      <c r="J45" s="9" t="inlineStr">
        <is>
          <t>従業員一覧／従業員詳細</t>
        </is>
      </c>
      <c r="K45" s="9" t="inlineStr">
        <is>
          <t>T-L10 T-D08</t>
        </is>
      </c>
      <c r="L45" s="9" t="inlineStr">
        <is>
          <t>操作手順 ＞ 従業員を探す・削除する</t>
        </is>
      </c>
      <c r="M45" s="9" t="inlineStr"/>
      <c r="N45" s="9" t="inlineStr">
        <is>
          <t>T-L10.png</t>
        </is>
      </c>
      <c r="O45" s="12" t="inlineStr"/>
      <c r="P45" s="13" t="inlineStr"/>
      <c r="Q45" s="12" t="inlineStr"/>
      <c r="R45" s="12" t="inlineStr"/>
    </row>
    <row r="46" ht="49" customHeight="1">
      <c r="A46" s="9" t="inlineStr">
        <is>
          <t>M4 顧客とCSが自分で運用できる</t>
        </is>
      </c>
      <c r="B46" s="9" t="inlineStr">
        <is>
          <t>CSVで取り込め、必要な項目だけ出力でき、数字がおかしいときに原因を追える</t>
        </is>
      </c>
      <c r="C46" s="9" t="inlineStr">
        <is>
          <t>計算：個人単位でも同じ数字</t>
        </is>
      </c>
      <c r="D46" s="10" t="inlineStr">
        <is>
          <t>AC-35</t>
        </is>
      </c>
      <c r="E46" s="11" t="inlineStr">
        <is>
          <t>L1 MVP必須</t>
        </is>
      </c>
      <c r="F46" s="9" t="inlineStr">
        <is>
          <t>画面が変わっても同じ数字が出る</t>
        </is>
      </c>
      <c r="G46" s="9" t="inlineStr">
        <is>
          <t>同一従業員・同一月で差分=0円</t>
        </is>
      </c>
      <c r="H46" s="9" t="inlineStr">
        <is>
          <t>条件付きGo可（説明コストが増える）</t>
        </is>
      </c>
      <c r="I46" s="9" t="inlineStr">
        <is>
          <t>同じ集計ロジックを共有する（画面ごとに別計算をしない）</t>
        </is>
      </c>
      <c r="J46" s="9" t="inlineStr">
        <is>
          <t>従業員詳細（給与実績）</t>
        </is>
      </c>
      <c r="K46" s="9" t="inlineStr">
        <is>
          <t>R-04</t>
        </is>
      </c>
      <c r="L46" s="9" t="inlineStr">
        <is>
          <t>操作手順 ＞ 人件費の計算方法</t>
        </is>
      </c>
      <c r="M46" s="9" t="inlineStr"/>
      <c r="N46" s="9" t="inlineStr">
        <is>
          <t>R-04.png</t>
        </is>
      </c>
      <c r="O46" s="12" t="inlineStr"/>
      <c r="P46" s="13" t="inlineStr"/>
      <c r="Q46" s="12" t="inlineStr"/>
      <c r="R46" s="12" t="inlineStr"/>
    </row>
    <row r="47" ht="49" customHeight="1">
      <c r="A47" s="9" t="inlineStr">
        <is>
          <t>M4 顧客とCSが自分で運用できる</t>
        </is>
      </c>
      <c r="B47" s="9" t="inlineStr">
        <is>
          <t>CSVで取り込め、必要な項目だけ出力でき、数字がおかしいときに原因を追える</t>
        </is>
      </c>
      <c r="C47" s="9" t="inlineStr">
        <is>
          <t>入出力：画面の内容と一致</t>
        </is>
      </c>
      <c r="D47" s="10" t="inlineStr">
        <is>
          <t>AC-36</t>
        </is>
      </c>
      <c r="E47" s="11" t="inlineStr">
        <is>
          <t>L1 MVP必須</t>
        </is>
      </c>
      <c r="F47" s="9" t="inlineStr">
        <is>
          <t>表示中の内容どおりに出力される</t>
        </is>
      </c>
      <c r="G47" s="9" t="inlineStr">
        <is>
          <t>出力の行・列＝画面の表示（差分0）</t>
        </is>
      </c>
      <c r="H47" s="9" t="inlineStr">
        <is>
          <t>条件付きGo可</t>
        </is>
      </c>
      <c r="I47" s="9" t="inlineStr">
        <is>
          <t>出力は画面の絞り込み条件を引き継ぐ（全件出力にしない）</t>
        </is>
      </c>
      <c r="J47" s="9" t="inlineStr">
        <is>
          <t>給与実績一覧／設定履歴／従業員別 給与実績</t>
        </is>
      </c>
      <c r="K47" s="9" t="inlineStr">
        <is>
          <t>T-P01 T-H04 T-A07</t>
        </is>
      </c>
      <c r="L47" s="9" t="inlineStr">
        <is>
          <t>操作手順 ＞ データを出力する ／ ケース別 ＞ 数字が合わないとき</t>
        </is>
      </c>
      <c r="M47" s="9" t="inlineStr"/>
      <c r="N47" s="9" t="inlineStr">
        <is>
          <t>T-P01.png</t>
        </is>
      </c>
      <c r="O47" s="12" t="inlineStr"/>
      <c r="P47" s="13" t="inlineStr"/>
      <c r="Q47" s="12" t="inlineStr"/>
      <c r="R47" s="12" t="inlineStr"/>
    </row>
    <row r="48" ht="49" customHeight="1">
      <c r="A48" s="9" t="inlineStr">
        <is>
          <t>M4 顧客とCSが自分で運用できる</t>
        </is>
      </c>
      <c r="B48" s="9" t="inlineStr">
        <is>
          <t>CSVで取り込め、必要な項目だけ出力でき、数字がおかしいときに原因を追える</t>
        </is>
      </c>
      <c r="C48" s="9" t="inlineStr">
        <is>
          <t>入出力：現場のCSVをそのまま使える</t>
        </is>
      </c>
      <c r="D48" s="10" t="inlineStr">
        <is>
          <t>AC-37</t>
        </is>
      </c>
      <c r="E48" s="11" t="inlineStr">
        <is>
          <t>L1 MVP必須</t>
        </is>
      </c>
      <c r="F48" s="9" t="inlineStr">
        <is>
          <t>開始行を指定すれば取り込める</t>
        </is>
      </c>
      <c r="G48" s="9" t="inlineStr">
        <is>
          <t>取込成功=全行</t>
        </is>
      </c>
      <c r="H48" s="9" t="inlineStr">
        <is>
          <t>条件付きGo可（顧客にCSV加工を依頼する運用で代替）</t>
        </is>
      </c>
      <c r="I48" s="9" t="inlineStr">
        <is>
          <t>ヘッダー行・データ開始行・開始列を指定できる</t>
        </is>
      </c>
      <c r="J48" s="9" t="inlineStr">
        <is>
          <t>設定インポート</t>
        </is>
      </c>
      <c r="K48" s="9" t="inlineStr">
        <is>
          <t>T-I11</t>
        </is>
      </c>
      <c r="L48" s="9" t="inlineStr">
        <is>
          <t>ケース別 ＞ CSVの列名がラクミーと違うとき</t>
        </is>
      </c>
      <c r="M48" s="9" t="inlineStr"/>
      <c r="N48" s="9" t="inlineStr">
        <is>
          <t>T-I11.png</t>
        </is>
      </c>
      <c r="O48" s="12" t="inlineStr"/>
      <c r="P48" s="13" t="inlineStr"/>
      <c r="Q48" s="12" t="inlineStr"/>
      <c r="R48" s="12" t="inlineStr"/>
    </row>
    <row r="49" ht="49" customHeight="1">
      <c r="A49" s="9" t="inlineStr">
        <is>
          <t>M4 顧客とCSが自分で運用できる</t>
        </is>
      </c>
      <c r="B49" s="9" t="inlineStr">
        <is>
          <t>CSVで取り込め、必要な項目だけ出力でき、数字がおかしいときに原因を追える</t>
        </is>
      </c>
      <c r="C49" s="9" t="inlineStr">
        <is>
          <t>入出力：原因を追える</t>
        </is>
      </c>
      <c r="D49" s="10" t="inlineStr">
        <is>
          <t>AC-39</t>
        </is>
      </c>
      <c r="E49" s="11" t="inlineStr">
        <is>
          <t>L1 MVP必須</t>
        </is>
      </c>
      <c r="F49" s="9" t="inlineStr">
        <is>
          <t>取り込んだ元データを確認できる</t>
        </is>
      </c>
      <c r="G49" s="9" t="inlineStr">
        <is>
          <t>設定・実績とも参照可能</t>
        </is>
      </c>
      <c r="H49" s="9" t="inlineStr">
        <is>
          <t>条件付きGo可（DBを直接見る運用で代替）</t>
        </is>
      </c>
      <c r="I49" s="9" t="inlineStr">
        <is>
          <t>取込ファイルと取込結果を保存し、画面から参照できる</t>
        </is>
      </c>
      <c r="J49" s="9" t="inlineStr">
        <is>
          <t>設定取込データ／実績取込データ</t>
        </is>
      </c>
      <c r="K49" s="9" t="inlineStr">
        <is>
          <t>T-N01</t>
        </is>
      </c>
      <c r="L49" s="9" t="inlineStr">
        <is>
          <t>操作手順 ＞ 取り込んだ元データを確認する</t>
        </is>
      </c>
      <c r="M49" s="9" t="inlineStr"/>
      <c r="N49" s="9" t="inlineStr">
        <is>
          <t>T-N01.png</t>
        </is>
      </c>
      <c r="O49" s="12" t="inlineStr"/>
      <c r="P49" s="13" t="inlineStr"/>
      <c r="Q49" s="12" t="inlineStr"/>
      <c r="R49" s="12" t="inlineStr"/>
    </row>
    <row r="50" ht="64" customHeight="1">
      <c r="A50" s="9" t="inlineStr">
        <is>
          <t>M4 顧客とCSが自分で運用できる</t>
        </is>
      </c>
      <c r="B50" s="9" t="inlineStr">
        <is>
          <t>CSVで取り込め、必要な項目だけ出力でき、数字がおかしいときに原因を追える</t>
        </is>
      </c>
      <c r="C50" s="9" t="inlineStr">
        <is>
          <t>データ保全：中途半端に残さない</t>
        </is>
      </c>
      <c r="D50" s="10" t="inlineStr">
        <is>
          <t>AC-42</t>
        </is>
      </c>
      <c r="E50" s="11" t="inlineStr">
        <is>
          <t>L1 MVP必須</t>
        </is>
      </c>
      <c r="F50" s="9" t="inlineStr">
        <is>
          <t>途中で失敗しても中途半端な状態が残らない</t>
        </is>
      </c>
      <c r="G50" s="9" t="inlineStr">
        <is>
          <t>部分登録の残存=0件</t>
        </is>
      </c>
      <c r="H50" s="9" t="inlineStr">
        <is>
          <t>不可（どこまで入ったか分からず復旧できない）</t>
        </is>
      </c>
      <c r="I50" s="9" t="inlineStr">
        <is>
          <t>全体をトランザクションで囲む（全体拒否）か、行単位で結果を明示する。どちらでも可だが挙動を固定する</t>
        </is>
      </c>
      <c r="J50" s="9" t="inlineStr">
        <is>
          <t>設定インポート</t>
        </is>
      </c>
      <c r="K50" s="9" t="inlineStr">
        <is>
          <t>T-I18 R-03</t>
        </is>
      </c>
      <c r="L50" s="9" t="inlineStr">
        <is>
          <t>よくあるご質問 ＞ CSVの取り込みでエラーになります ／ よくあるご質問 ＞ 設定が保存できません</t>
        </is>
      </c>
      <c r="M50" s="9" t="inlineStr"/>
      <c r="N50" s="9" t="inlineStr">
        <is>
          <t>T-I18.png</t>
        </is>
      </c>
      <c r="O50" s="12" t="inlineStr"/>
      <c r="P50" s="13" t="inlineStr"/>
      <c r="Q50" s="12" t="inlineStr"/>
      <c r="R50" s="12" t="inlineStr"/>
    </row>
    <row r="51" ht="49" customHeight="1">
      <c r="A51" s="9" t="inlineStr">
        <is>
          <t>M4 顧客とCSが自分で運用できる</t>
        </is>
      </c>
      <c r="B51" s="9" t="inlineStr">
        <is>
          <t>CSVで取り込め、必要な項目だけ出力でき、数字がおかしいときに原因を追える</t>
        </is>
      </c>
      <c r="C51" s="9" t="inlineStr">
        <is>
          <t>データ保全：不完全な登録を作らない</t>
        </is>
      </c>
      <c r="D51" s="10" t="inlineStr">
        <is>
          <t>AC-43</t>
        </is>
      </c>
      <c r="E51" s="11" t="inlineStr">
        <is>
          <t>L1 MVP必須</t>
        </is>
      </c>
      <c r="F51" s="9" t="inlineStr">
        <is>
          <t>必須が欠けたまま保存も遷移もしない</t>
        </is>
      </c>
      <c r="G51" s="9" t="inlineStr">
        <is>
          <t>未入力での登録成功=0件、遷移=0件</t>
        </is>
      </c>
      <c r="H51" s="9" t="inlineStr">
        <is>
          <t>不可（締め時に止まる従業員が生まれる）</t>
        </is>
      </c>
      <c r="I51" s="9" t="inlineStr">
        <is>
          <t>サーバ側でも必須チェック（画面側だけにしない）。エラー時は同一画面に留まる</t>
        </is>
      </c>
      <c r="J51" s="9" t="inlineStr">
        <is>
          <t>従業員登録</t>
        </is>
      </c>
      <c r="K51" s="9" t="inlineStr">
        <is>
          <t>T-R10 R-03</t>
        </is>
      </c>
      <c r="L51" s="9" t="inlineStr">
        <is>
          <t>よくあるご質問 ＞ 設定が保存できません</t>
        </is>
      </c>
      <c r="M51" s="9" t="inlineStr"/>
      <c r="N51" s="9" t="inlineStr">
        <is>
          <t>T-R10.png</t>
        </is>
      </c>
      <c r="O51" s="12" t="inlineStr"/>
      <c r="P51" s="13" t="inlineStr"/>
      <c r="Q51" s="12" t="inlineStr"/>
      <c r="R51" s="12" t="inlineStr"/>
    </row>
    <row r="52" ht="49" customHeight="1">
      <c r="A52" s="9" t="inlineStr">
        <is>
          <t>M5 既存顧客を壊さない</t>
        </is>
      </c>
      <c r="B52" s="9" t="inlineStr">
        <is>
          <t>移行しても既存データと過去月の人件費が変わらない</t>
        </is>
      </c>
      <c r="C52" s="9" t="inlineStr">
        <is>
          <t>移行：既存顧客が壊れない</t>
        </is>
      </c>
      <c r="D52" s="10" t="inlineStr">
        <is>
          <t>AC-01</t>
        </is>
      </c>
      <c r="E52" s="14" t="inlineStr">
        <is>
          <t>L0 リリース不可</t>
        </is>
      </c>
      <c r="F52" s="9" t="inlineStr">
        <is>
          <t>移行後も既存の従業員が同じ内容で見える</t>
        </is>
      </c>
      <c r="G52" s="9" t="inlineStr">
        <is>
          <t>件数の増減=0／12項目の差分=0</t>
        </is>
      </c>
      <c r="H52" s="9" t="inlineStr">
        <is>
          <t>★中止（既存顧客のマスタが壊れる）</t>
        </is>
      </c>
      <c r="I52" s="9" t="inlineStr">
        <is>
          <t>移行スクリプトが既存レコードを1対1で新モデルへ写像する。項目の欠落・型変換の失敗が0件</t>
        </is>
      </c>
      <c r="J52" s="9" t="inlineStr">
        <is>
          <t>従業員一覧</t>
        </is>
      </c>
      <c r="K52" s="9" t="inlineStr">
        <is>
          <t>T-L01 T-Z01 T-Z05</t>
        </is>
      </c>
      <c r="L52" s="9" t="inlineStr">
        <is>
          <t>操作手順 ＞ 従業員を探す・削除する ／ ケース別 ＞ すでにご利用中のお客様</t>
        </is>
      </c>
      <c r="M52" s="9" t="inlineStr"/>
      <c r="N52" s="9" t="inlineStr">
        <is>
          <t>T-L01.png</t>
        </is>
      </c>
      <c r="O52" s="12" t="inlineStr"/>
      <c r="P52" s="13" t="inlineStr"/>
      <c r="Q52" s="12" t="inlineStr"/>
      <c r="R52" s="12" t="inlineStr"/>
    </row>
    <row r="53" ht="49" customHeight="1">
      <c r="A53" s="9" t="inlineStr">
        <is>
          <t>M5 既存顧客を壊さない</t>
        </is>
      </c>
      <c r="B53" s="9" t="inlineStr">
        <is>
          <t>移行しても既存データと過去月の人件費が変わらない</t>
        </is>
      </c>
      <c r="C53" s="9" t="inlineStr">
        <is>
          <t>移行：過去が動かない</t>
        </is>
      </c>
      <c r="D53" s="10" t="inlineStr">
        <is>
          <t>AC-03</t>
        </is>
      </c>
      <c r="E53" s="14" t="inlineStr">
        <is>
          <t>L0 リリース不可</t>
        </is>
      </c>
      <c r="F53" s="9" t="inlineStr">
        <is>
          <t>移行しても過去月の人件費が1円も変わらない</t>
        </is>
      </c>
      <c r="G53" s="9" t="inlineStr">
        <is>
          <t>3か月とも差分=0円</t>
        </is>
      </c>
      <c r="H53" s="9" t="inlineStr">
        <is>
          <t>★中止（この機能の存在意義が消える）</t>
        </is>
      </c>
      <c r="I53" s="9" t="inlineStr">
        <is>
          <t>移行時に各従業員へ「過去日の初回適用レコード」を必ず付与し、過去月の再計算を走らせない</t>
        </is>
      </c>
      <c r="J53" s="9" t="inlineStr">
        <is>
          <t>給与実績一覧（月別）</t>
        </is>
      </c>
      <c r="K53" s="9" t="inlineStr">
        <is>
          <t>T-Z03</t>
        </is>
      </c>
      <c r="L53" s="9" t="inlineStr">
        <is>
          <t>ケース別 ＞ すでにご利用中のお客様</t>
        </is>
      </c>
      <c r="M53" s="9" t="inlineStr"/>
      <c r="N53" s="9" t="inlineStr">
        <is>
          <t>T-Z03.png</t>
        </is>
      </c>
      <c r="O53" s="12" t="inlineStr"/>
      <c r="P53" s="13" t="inlineStr"/>
      <c r="Q53" s="12" t="inlineStr"/>
      <c r="R53" s="12" t="inlineStr"/>
    </row>
    <row r="54" ht="34" customHeight="1">
      <c r="A54" s="9" t="inlineStr">
        <is>
          <t>M6 次段階（今回は実装しない）</t>
        </is>
      </c>
      <c r="B54" s="9" t="inlineStr">
        <is>
          <t>無くても業務は回る。実測を記録し次の優先順位を決める</t>
        </is>
      </c>
      <c r="C54" s="9" t="inlineStr">
        <is>
          <t>画面：状態が漏れない</t>
        </is>
      </c>
      <c r="D54" s="10" t="inlineStr">
        <is>
          <t>AC-31</t>
        </is>
      </c>
      <c r="E54" s="15" t="inlineStr">
        <is>
          <t>L2 次段階</t>
        </is>
      </c>
      <c r="F54" s="9" t="inlineStr">
        <is>
          <t>切替が他画面に影響しない</t>
        </is>
      </c>
      <c r="G54" s="9" t="inlineStr">
        <is>
          <t>他画面の表示モードが変わらない</t>
        </is>
      </c>
      <c r="H54" s="9" t="inlineStr">
        <is>
          <t>影響なし</t>
        </is>
      </c>
      <c r="I54" s="9" t="inlineStr">
        <is>
          <t>表示モードを画面ローカルに持つ</t>
        </is>
      </c>
      <c r="J54" s="9" t="inlineStr">
        <is>
          <t>給与実績一覧／従業員詳細</t>
        </is>
      </c>
      <c r="K54" s="9" t="inlineStr">
        <is>
          <t>T-A02</t>
        </is>
      </c>
      <c r="L54" s="9" t="inlineStr">
        <is>
          <t>操作手順 ＞ 毎月の人件費を確定する</t>
        </is>
      </c>
      <c r="M54" s="9" t="inlineStr"/>
      <c r="N54" s="9" t="inlineStr">
        <is>
          <t>T-A02.png</t>
        </is>
      </c>
      <c r="O54" s="12" t="inlineStr"/>
      <c r="P54" s="13" t="inlineStr"/>
      <c r="Q54" s="12" t="inlineStr"/>
      <c r="R54" s="12" t="inlineStr"/>
    </row>
    <row r="55" ht="49" customHeight="1">
      <c r="A55" s="9" t="inlineStr">
        <is>
          <t>M6 次段階（今回は実装しない）</t>
        </is>
      </c>
      <c r="B55" s="9" t="inlineStr">
        <is>
          <t>無くても業務は回る。実測を記録し次の優先順位を決める</t>
        </is>
      </c>
      <c r="C55" s="9" t="inlineStr">
        <is>
          <t>原則②：締め前の事前チェック</t>
        </is>
      </c>
      <c r="D55" s="10" t="inlineStr">
        <is>
          <t>AC-32</t>
        </is>
      </c>
      <c r="E55" s="15" t="inlineStr">
        <is>
          <t>L2 次段階</t>
        </is>
      </c>
      <c r="F55" s="9" t="inlineStr">
        <is>
          <t>事前に警告が出る</t>
        </is>
      </c>
      <c r="G55" s="9" t="inlineStr">
        <is>
          <t>警告表示=1回</t>
        </is>
      </c>
      <c r="H55" s="9" t="inlineStr">
        <is>
          <t>影響なし（次リリースで対応）</t>
        </is>
      </c>
      <c r="I55" s="9" t="inlineStr">
        <is>
          <t>締め実行時に設定の欠落を検出して警告（「従業員設定確定」廃止の代替）</t>
        </is>
      </c>
      <c r="J55" s="9" t="inlineStr">
        <is>
          <t>給与実績一覧（月別）</t>
        </is>
      </c>
      <c r="K55" s="9" t="inlineStr">
        <is>
          <t>T-S03</t>
        </is>
      </c>
      <c r="L55" s="9" t="inlineStr">
        <is>
          <t>操作手順 ＞ 毎月の人件費を確定する</t>
        </is>
      </c>
      <c r="M55" s="9" t="inlineStr"/>
      <c r="N55" s="9" t="inlineStr">
        <is>
          <t>T-S03.png</t>
        </is>
      </c>
      <c r="O55" s="12" t="inlineStr"/>
      <c r="P55" s="13" t="inlineStr"/>
      <c r="Q55" s="12" t="inlineStr"/>
      <c r="R55" s="12" t="inlineStr"/>
    </row>
    <row r="56" ht="34" customHeight="1">
      <c r="A56" s="9" t="inlineStr">
        <is>
          <t>M6 次段階（今回は実装しない）</t>
        </is>
      </c>
      <c r="B56" s="9" t="inlineStr">
        <is>
          <t>無くても業務は回る。実測を記録し次の優先順位を決める</t>
        </is>
      </c>
      <c r="C56" s="9" t="inlineStr">
        <is>
          <t>入出力：テンプレートの運用</t>
        </is>
      </c>
      <c r="D56" s="10" t="inlineStr">
        <is>
          <t>AC-38</t>
        </is>
      </c>
      <c r="E56" s="15" t="inlineStr">
        <is>
          <t>L2 次段階</t>
        </is>
      </c>
      <c r="F56" s="9" t="inlineStr">
        <is>
          <t>編集・削除・一括登録ができる</t>
        </is>
      </c>
      <c r="G56" s="9" t="inlineStr">
        <is>
          <t>いずれも成功（失敗=0）</t>
        </is>
      </c>
      <c r="H56" s="9" t="inlineStr">
        <is>
          <t>影響なし</t>
        </is>
      </c>
      <c r="I56" s="9" t="inlineStr">
        <is>
          <t>テンプレートのCRUDとCSVでの一括登録</t>
        </is>
      </c>
      <c r="J56" s="9" t="inlineStr">
        <is>
          <t>列マッピングテンプレート</t>
        </is>
      </c>
      <c r="K56" s="9" t="inlineStr">
        <is>
          <t>T-I09</t>
        </is>
      </c>
      <c r="L56" s="9" t="inlineStr">
        <is>
          <t>ケース別 ＞ CSVの列名がラクミーと違うとき</t>
        </is>
      </c>
      <c r="M56" s="9" t="inlineStr"/>
      <c r="N56" s="9" t="inlineStr">
        <is>
          <t>T-I09.png</t>
        </is>
      </c>
      <c r="O56" s="12" t="inlineStr"/>
      <c r="P56" s="13" t="inlineStr"/>
      <c r="Q56" s="12" t="inlineStr"/>
      <c r="R56" s="12" t="inlineStr"/>
    </row>
    <row r="57" ht="34" customHeight="1">
      <c r="A57" s="9" t="inlineStr">
        <is>
          <t>M6 次段階（今回は実装しない）</t>
        </is>
      </c>
      <c r="B57" s="9" t="inlineStr">
        <is>
          <t>無くても業務は回る。実測を記録し次の優先順位を決める</t>
        </is>
      </c>
      <c r="C57" s="9" t="inlineStr">
        <is>
          <t>データ保全：同時操作</t>
        </is>
      </c>
      <c r="D57" s="10" t="inlineStr">
        <is>
          <t>AC-44</t>
        </is>
      </c>
      <c r="E57" s="15" t="inlineStr">
        <is>
          <t>L2 次段階</t>
        </is>
      </c>
      <c r="F57" s="9" t="inlineStr">
        <is>
          <t>競合が制御される</t>
        </is>
      </c>
      <c r="G57" s="9" t="inlineStr">
        <is>
          <t>不整合=0件</t>
        </is>
      </c>
      <c r="H57" s="9" t="inlineStr">
        <is>
          <t>影響なし（担当は通常1〜2名）</t>
        </is>
      </c>
      <c r="I57" s="9" t="inlineStr">
        <is>
          <t>締めに排他制御を入れる</t>
        </is>
      </c>
      <c r="J57" s="9" t="inlineStr">
        <is>
          <t>給与実績一覧（月別）</t>
        </is>
      </c>
      <c r="K57" s="9" t="inlineStr">
        <is>
          <t>-</t>
        </is>
      </c>
      <c r="L57" s="9" t="inlineStr"/>
      <c r="M57" s="9" t="inlineStr"/>
      <c r="N57" s="9" t="inlineStr">
        <is>
          <t>-</t>
        </is>
      </c>
      <c r="O57" s="12" t="inlineStr"/>
      <c r="P57" s="13" t="inlineStr"/>
      <c r="Q57" s="12" t="inlineStr"/>
      <c r="R57" s="12" t="inlineStr"/>
    </row>
    <row r="58" ht="34" customHeight="1">
      <c r="A58" s="9" t="inlineStr">
        <is>
          <t>M6 次段階（今回は実装しない）</t>
        </is>
      </c>
      <c r="B58" s="9" t="inlineStr">
        <is>
          <t>無くても業務は回る。実測を記録し次の優先順位を決める</t>
        </is>
      </c>
      <c r="C58" s="9" t="inlineStr">
        <is>
          <t>原則②：確定操作の監査</t>
        </is>
      </c>
      <c r="D58" s="10" t="inlineStr">
        <is>
          <t>AC-45</t>
        </is>
      </c>
      <c r="E58" s="15" t="inlineStr">
        <is>
          <t>L2 次段階</t>
        </is>
      </c>
      <c r="F58" s="9" t="inlineStr">
        <is>
          <t>実行者と日時が記録される</t>
        </is>
      </c>
      <c r="G58" s="9" t="inlineStr">
        <is>
          <t>解除の記録=1件/回</t>
        </is>
      </c>
      <c r="H58" s="9" t="inlineStr">
        <is>
          <t>影響なし（現状はT-S05の所見で代替）</t>
        </is>
      </c>
      <c r="I58" s="9" t="inlineStr">
        <is>
          <t>解除ログを保存する</t>
        </is>
      </c>
      <c r="J58" s="9" t="inlineStr">
        <is>
          <t>給与実績一覧（月別）</t>
        </is>
      </c>
      <c r="K58" s="9" t="inlineStr">
        <is>
          <t>-</t>
        </is>
      </c>
      <c r="L58" s="9" t="inlineStr"/>
      <c r="M58" s="9" t="inlineStr"/>
      <c r="N58" s="9" t="inlineStr">
        <is>
          <t>-</t>
        </is>
      </c>
      <c r="O58" s="12" t="inlineStr"/>
      <c r="P58" s="13" t="inlineStr"/>
      <c r="Q58" s="12" t="inlineStr"/>
      <c r="R58" s="12" t="inlineStr"/>
    </row>
    <row r="59" ht="34" customHeight="1">
      <c r="A59" s="9" t="inlineStr">
        <is>
          <t>M6 次段階（今回は実装しない）</t>
        </is>
      </c>
      <c r="B59" s="9" t="inlineStr">
        <is>
          <t>無くても業務は回る。実測を記録し次の優先順位を決める</t>
        </is>
      </c>
      <c r="C59" s="9" t="inlineStr">
        <is>
          <t>画面：規模に耐える</t>
        </is>
      </c>
      <c r="D59" s="10" t="inlineStr">
        <is>
          <t>AC-46</t>
        </is>
      </c>
      <c r="E59" s="15" t="inlineStr">
        <is>
          <t>L2 次段階</t>
        </is>
      </c>
      <c r="F59" s="9" t="inlineStr">
        <is>
          <t>実用的な速度で動く</t>
        </is>
      </c>
      <c r="G59" s="9" t="inlineStr">
        <is>
          <t>実務上支障のない時間</t>
        </is>
      </c>
      <c r="H59" s="9" t="inlineStr">
        <is>
          <t>影響なし（リリース後に計測）</t>
        </is>
      </c>
      <c r="I59" s="9" t="inlineStr">
        <is>
          <t>ページング・一括取込の最適化</t>
        </is>
      </c>
      <c r="J59" s="9" t="inlineStr">
        <is>
          <t>従業員一覧／設定インポート</t>
        </is>
      </c>
      <c r="K59" s="9" t="inlineStr">
        <is>
          <t>-</t>
        </is>
      </c>
      <c r="L59" s="9" t="inlineStr"/>
      <c r="M59" s="9" t="inlineStr"/>
      <c r="N59" s="9" t="inlineStr">
        <is>
          <t>-</t>
        </is>
      </c>
      <c r="O59" s="12" t="inlineStr"/>
      <c r="P59" s="13" t="inlineStr"/>
      <c r="Q59" s="12" t="inlineStr"/>
      <c r="R59" s="12" t="inlineStr"/>
    </row>
    <row r="60" ht="49" customHeight="1">
      <c r="A60" s="9" t="inlineStr">
        <is>
          <t>M2 金額が算式どおりに出る</t>
        </is>
      </c>
      <c r="B60" s="9" t="inlineStr">
        <is>
          <t>確定した算式で人件費が計算され、店舗別の合計が全社と一致する</t>
        </is>
      </c>
      <c r="C60" s="9" t="inlineStr">
        <is>
          <t>入出力：勤怠実績を取り込める</t>
        </is>
      </c>
      <c r="D60" s="10" t="inlineStr">
        <is>
          <t>AC-48</t>
        </is>
      </c>
      <c r="E60" s="11" t="inlineStr">
        <is>
          <t>L1 MVP必須</t>
        </is>
      </c>
      <c r="F60" s="9" t="inlineStr">
        <is>
          <t>「実績データ取込」で勤怠実績が取り込まれ、給与実績一覧に反映されること</t>
        </is>
      </c>
      <c r="G60" s="9" t="inlineStr">
        <is>
          <t>取込後に実績モードの金額が表示される（未反映=0件）。取込中は画面を操作できない</t>
        </is>
      </c>
      <c r="H60" s="9" t="inlineStr">
        <is>
          <t>不可（実績の数字が出ず、締めも意味を持たない）</t>
        </is>
      </c>
      <c r="I60" s="9" t="inlineStr">
        <is>
          <t>取込処理を非同期で実行し、進捗を返す。処理中は締めなど後続の操作を受け付けない</t>
        </is>
      </c>
      <c r="J60" s="9" t="inlineStr">
        <is>
          <t>給与実績一覧</t>
        </is>
      </c>
      <c r="K60" s="9" t="inlineStr">
        <is>
          <t>T-A08</t>
        </is>
      </c>
      <c r="L60" s="9" t="inlineStr">
        <is>
          <t>操作手順 ＞ 毎月の人件費を確定する</t>
        </is>
      </c>
      <c r="M60" s="9" t="inlineStr"/>
      <c r="N60" s="9" t="inlineStr">
        <is>
          <t>T-A08.png</t>
        </is>
      </c>
      <c r="O60" s="12" t="inlineStr"/>
      <c r="P60" s="13" t="inlineStr"/>
      <c r="Q60" s="12" t="inlineStr"/>
      <c r="R60" s="12" t="inlineStr"/>
    </row>
    <row r="61" ht="94" customHeight="1">
      <c r="A61" s="9" t="inlineStr">
        <is>
          <t>M4 顧客とCSが自分で運用できる</t>
        </is>
      </c>
      <c r="B61" s="9" t="inlineStr">
        <is>
          <t>CSVで取り込め、必要な項目だけ出力でき、数字がおかしいときに原因を追える</t>
        </is>
      </c>
      <c r="C61" s="9" t="inlineStr">
        <is>
          <t>原則①：どの入口から編集しても履歴が残る</t>
        </is>
      </c>
      <c r="D61" s="10" t="inlineStr">
        <is>
          <t>AC-49</t>
        </is>
      </c>
      <c r="E61" s="11" t="inlineStr">
        <is>
          <t>L1 MVP必須</t>
        </is>
      </c>
      <c r="F61" s="9" t="inlineStr">
        <is>
          <t>従業員詳細と給与実績一覧のモーダル、どちらから編集しても適用日付と履歴が同じ形式で残ること</t>
        </is>
      </c>
      <c r="G61" s="9" t="inlineStr">
        <is>
          <t>モーダル経由・詳細経由のどちらでも履歴が1行増える（記録されない編集=0件）。変更ソースも記録される</t>
        </is>
      </c>
      <c r="H61" s="9" t="inlineStr">
        <is>
          <t>不可（片方だけ履歴が残らないと変更を追えない期間ができ、AC-07・AC-03に連鎖）</t>
        </is>
      </c>
      <c r="I61" s="9" t="inlineStr">
        <is>
          <t>設定更新の処理を1箇所に集約し、両方の画面から同じ処理を呼ぶ。※この集約はM1（データ基盤）の時点で作る。後から画面ごとに分かれた実装を統合するのは困難。判定はモーダルが実装されるM4で行う</t>
        </is>
      </c>
      <c r="J61" s="9" t="inlineStr">
        <is>
          <t>給与実績一覧（設定編集モーダル）／従業員詳細</t>
        </is>
      </c>
      <c r="K61" s="9" t="inlineStr">
        <is>
          <t>T-A09 R-06</t>
        </is>
      </c>
      <c r="L61" s="9" t="inlineStr">
        <is>
          <t>操作手順 ＞ 従業員の設定を変更する</t>
        </is>
      </c>
      <c r="M61" s="9" t="inlineStr"/>
      <c r="N61" s="9" t="inlineStr">
        <is>
          <t>T-A09.png</t>
        </is>
      </c>
      <c r="O61" s="12" t="inlineStr"/>
      <c r="P61" s="13" t="inlineStr"/>
      <c r="Q61" s="12" t="inlineStr"/>
      <c r="R61" s="12" t="inlineStr"/>
    </row>
    <row r="62" ht="49" customHeight="1">
      <c r="A62" s="9" t="inlineStr">
        <is>
          <t>M4 顧客とCSが自分で運用できる</t>
        </is>
      </c>
      <c r="B62" s="9" t="inlineStr">
        <is>
          <t>CSVで取り込め、必要な項目だけ出力でき、数字がおかしいときに原因を追える</t>
        </is>
      </c>
      <c r="C62" s="9" t="inlineStr">
        <is>
          <t>データ保全：取り込む前に気づける</t>
        </is>
      </c>
      <c r="D62" s="10" t="inlineStr">
        <is>
          <t>AC-50</t>
        </is>
      </c>
      <c r="E62" s="11" t="inlineStr">
        <is>
          <t>L1 MVP必須</t>
        </is>
      </c>
      <c r="F62" s="9" t="inlineStr">
        <is>
          <t>取り込む前に、内容のプレビューと前回との差分を確認できること</t>
        </is>
      </c>
      <c r="G62" s="9" t="inlineStr">
        <is>
          <t>プレビューで取込内容が表示される。前回差分で「前回◯◯→新規◯◯」の形式で差が表示される（差分が出ない=0件）</t>
        </is>
      </c>
      <c r="H62" s="9" t="inlineStr">
        <is>
          <t>条件付きGo可（取込後に給与実績一覧で確認する運用で代替。ただし気づくのが遅れる）</t>
        </is>
      </c>
      <c r="I62" s="9" t="inlineStr">
        <is>
          <t>前回の取込内容を保持し、項目単位で新旧を比較して差だけを提示する</t>
        </is>
      </c>
      <c r="J62" s="9" t="inlineStr">
        <is>
          <t>設定取込データ／実績取込データ</t>
        </is>
      </c>
      <c r="K62" s="9" t="inlineStr">
        <is>
          <t>T-N02</t>
        </is>
      </c>
      <c r="L62" s="9" t="inlineStr">
        <is>
          <t>操作手順 ＞ 取り込んだ元データを確認する</t>
        </is>
      </c>
      <c r="M62" s="9" t="inlineStr"/>
      <c r="N62" s="9" t="inlineStr">
        <is>
          <t>T-N02.png</t>
        </is>
      </c>
      <c r="O62" s="12" t="inlineStr"/>
      <c r="P62" s="13" t="inlineStr"/>
      <c r="Q62" s="12" t="inlineStr"/>
      <c r="R62" s="12" t="inlineStr"/>
    </row>
    <row r="63" ht="64" customHeight="1">
      <c r="A63" s="9" t="inlineStr">
        <is>
          <t>M6 次段階（今回は実装しない）</t>
        </is>
      </c>
      <c r="B63" s="9" t="inlineStr">
        <is>
          <t>無くても業務は回る。実測を記録し次の優先順位を決める</t>
        </is>
      </c>
      <c r="C63" s="9" t="inlineStr">
        <is>
          <t>入出力：マッピングの一括運用</t>
        </is>
      </c>
      <c r="D63" s="10" t="inlineStr">
        <is>
          <t>AC-51</t>
        </is>
      </c>
      <c r="E63" s="15" t="inlineStr">
        <is>
          <t>L2 次段階</t>
        </is>
      </c>
      <c r="F63" s="9" t="inlineStr">
        <is>
          <t>マッピング表をテンプレートでダウンロードし、記入したファイルをアップロードして一括登録できること。行の追加と更新もできること</t>
        </is>
      </c>
      <c r="G63" s="9" t="inlineStr">
        <is>
          <t>テンプレートDL・アップロード（CSV最大10MB）・行を追加・更新する がいずれも動作（失敗=0）。10MB超は拒否</t>
        </is>
      </c>
      <c r="H63" s="9" t="inlineStr">
        <is>
          <t>影響なし（1件ずつ設定する運用で代替）</t>
        </is>
      </c>
      <c r="I63" s="9" t="inlineStr">
        <is>
          <t>マッピング行のCRUDと、テンプレートCSVの入出力（アップロードは上限を設ける）</t>
        </is>
      </c>
      <c r="J63" s="9" t="inlineStr">
        <is>
          <t>列マッピングテンプレート</t>
        </is>
      </c>
      <c r="K63" s="9" t="inlineStr">
        <is>
          <t>T-I19</t>
        </is>
      </c>
      <c r="L63" s="9" t="inlineStr">
        <is>
          <t>ケース別 ＞ CSVの列名がラクミーと違うとき</t>
        </is>
      </c>
      <c r="M63" s="9" t="inlineStr"/>
      <c r="N63" s="9" t="inlineStr">
        <is>
          <t>T-I19.png</t>
        </is>
      </c>
      <c r="O63" s="12" t="inlineStr"/>
      <c r="P63" s="13" t="inlineStr"/>
      <c r="Q63" s="12" t="inlineStr"/>
      <c r="R63" s="12" t="inlineStr"/>
    </row>
    <row r="64" ht="79" customHeight="1">
      <c r="A64" s="9" t="inlineStr">
        <is>
          <t>M4 顧客とCSが自分で運用できる</t>
        </is>
      </c>
      <c r="B64" s="9" t="inlineStr">
        <is>
          <t>CSVで取り込め、必要な項目だけ出力でき、数字がおかしいときに原因を追える</t>
        </is>
      </c>
      <c r="C64" s="9" t="inlineStr">
        <is>
          <t>画面：保存できたか確かめられる</t>
        </is>
      </c>
      <c r="D64" s="10" t="inlineStr">
        <is>
          <t>AC-52</t>
        </is>
      </c>
      <c r="E64" s="11" t="inlineStr">
        <is>
          <t>L1 MVP必須</t>
        </is>
      </c>
      <c r="F64" s="9" t="inlineStr">
        <is>
          <t>保存した設定が記録されたことを、同じ画面ですぐ確かめられる</t>
        </is>
      </c>
      <c r="G64" s="9" t="inlineStr">
        <is>
          <t>保存直後に最上部へ表示される＝100%（並びは変更反映日時の降順）。ステータスは2列目に表示され、横スクロールなしで見える。表示は直近3件（予約中があれば必ず含む）</t>
        </is>
      </c>
      <c r="H64" s="9" t="inlineStr">
        <is>
          <t>条件付きGo可</t>
        </is>
      </c>
      <c r="I64" s="9" t="inlineStr">
        <is>
          <t>並び順を変更反映日時の降順に固定し、ステータス列を変更反映日時の次に配置する。表示件数は直近3件に絞る。予約中の行は件数に関わらず表示する</t>
        </is>
      </c>
      <c r="J64" s="9" t="inlineStr">
        <is>
          <t>従業員詳細（設定変更履歴）</t>
        </is>
      </c>
      <c r="K64" s="9" t="inlineStr">
        <is>
          <t>T-D11</t>
        </is>
      </c>
      <c r="L64" s="9" t="inlineStr">
        <is>
          <t>操作手順 ＞ 従業員の設定を変更する</t>
        </is>
      </c>
      <c r="M64" s="9" t="inlineStr"/>
      <c r="N64" s="9" t="inlineStr">
        <is>
          <t>T-D11.png</t>
        </is>
      </c>
      <c r="O64" s="12" t="inlineStr"/>
      <c r="P64" s="13" t="inlineStr"/>
      <c r="Q64" s="12" t="inlineStr"/>
      <c r="R64" s="12" t="inlineStr"/>
    </row>
    <row r="65" ht="64" customHeight="1">
      <c r="A65" s="9" t="inlineStr">
        <is>
          <t>M4 顧客とCSが自分で運用できる</t>
        </is>
      </c>
      <c r="B65" s="9" t="inlineStr">
        <is>
          <t>CSVで取り込め、必要な項目だけ出力でき、数字がおかしいときに原因を追える</t>
        </is>
      </c>
      <c r="C65" s="9" t="inlineStr">
        <is>
          <t>画面：変更点が読み取れる</t>
        </is>
      </c>
      <c r="D65" s="10" t="inlineStr">
        <is>
          <t>AC-53</t>
        </is>
      </c>
      <c r="E65" s="15" t="inlineStr">
        <is>
          <t>L2 次段階</t>
        </is>
      </c>
      <c r="F65" s="9" t="inlineStr">
        <is>
          <t>1つ古い行と値が違う項目が強調され、4件目以降へ遷移できる</t>
        </is>
      </c>
      <c r="G65" s="9" t="inlineStr">
        <is>
          <t>変わった項目の強調＝変更箇所と一致（過不足0件）。「すべての履歴」から設定変更履歴一覧へ遷移し、その従業員で絞り込まれた状態で開く（絞り込みなしでの遷移=0件）</t>
        </is>
      </c>
      <c r="H65" s="9" t="inlineStr">
        <is>
          <t>影響なし</t>
        </is>
      </c>
      <c r="I65" s="9" t="inlineStr">
        <is>
          <t>直前行との差分を項目単位で判定して強調する。「すべての履歴」は従業員コードを引き継いで設定変更履歴一覧を開く</t>
        </is>
      </c>
      <c r="J65" s="9" t="inlineStr">
        <is>
          <t>従業員詳細（設定変更履歴）</t>
        </is>
      </c>
      <c r="K65" s="9" t="inlineStr">
        <is>
          <t>T-D11</t>
        </is>
      </c>
      <c r="L65" s="9" t="inlineStr">
        <is>
          <t>操作手順 ＞ 従業員の設定を変更する</t>
        </is>
      </c>
      <c r="M65" s="9" t="inlineStr"/>
      <c r="N65" s="9" t="inlineStr">
        <is>
          <t>T-D11.png</t>
        </is>
      </c>
      <c r="O65" s="12" t="inlineStr"/>
      <c r="P65" s="13" t="inlineStr"/>
      <c r="Q65" s="12" t="inlineStr"/>
      <c r="R65" s="12" t="inlineStr"/>
    </row>
    <row r="66" ht="79" customHeight="1">
      <c r="A66" s="9" t="inlineStr">
        <is>
          <t>M4 顧客とCSが自分で運用できる</t>
        </is>
      </c>
      <c r="B66" s="9" t="inlineStr">
        <is>
          <t>CSVで取り込め、必要な項目だけ出力でき、数字がおかしいときに原因を追える</t>
        </is>
      </c>
      <c r="C66" s="9" t="inlineStr">
        <is>
          <t>画面：通して見る場所がある</t>
        </is>
      </c>
      <c r="D66" s="10" t="inlineStr">
        <is>
          <t>AC-54</t>
        </is>
      </c>
      <c r="E66" s="11" t="inlineStr">
        <is>
          <t>L1 MVP必須</t>
        </is>
      </c>
      <c r="F66" s="9" t="inlineStr">
        <is>
          <t>1名分の実績を期間で通して確認でき、その内容をCSVで出力できる</t>
        </is>
      </c>
      <c r="G66" s="9" t="inlineStr">
        <is>
          <t>年月の範囲指定で年をまたいで表示できる（またげない=0件）。月次・日次の両タブで表示中の内容がそのままCSVに出る（画面の行数との差=0件）。給与計算モードの切替が月次で効く</t>
        </is>
      </c>
      <c r="H66" s="9" t="inlineStr">
        <is>
          <t>不可</t>
        </is>
      </c>
      <c r="I66" s="9" t="inlineStr">
        <is>
          <t>従業員詳細から従業員コードを引き継いで開く。年月は開始・終了の2つで指定する。日次タブでは給与計算モードを出さない（日別に概算は無いため）</t>
        </is>
      </c>
      <c r="J66" s="9" t="inlineStr">
        <is>
          <t>従業員別 給与実績</t>
        </is>
      </c>
      <c r="K66" s="9" t="inlineStr">
        <is>
          <t>T-D09 T-P01</t>
        </is>
      </c>
      <c r="L66" s="9" t="inlineStr">
        <is>
          <t>操作手順 ＞ 毎月の人件費を確定する ／ 操作手順 ＞ データを出力する</t>
        </is>
      </c>
      <c r="M66" s="9" t="inlineStr"/>
      <c r="N66" s="9" t="inlineStr">
        <is>
          <t>T-D09.png</t>
        </is>
      </c>
      <c r="O66" s="12" t="inlineStr"/>
      <c r="P66" s="13" t="inlineStr"/>
      <c r="Q66" s="12" t="inlineStr"/>
      <c r="R66" s="12" t="inlineStr"/>
    </row>
    <row r="67" ht="79" customHeight="1">
      <c r="A67" s="9" t="inlineStr">
        <is>
          <t>M1 過去が動かない構造ができる</t>
        </is>
      </c>
      <c r="B67" s="9" t="inlineStr">
        <is>
          <t>設定が適用日付つきで保存され、履歴が積まれる。同じ従業員コードが二重に登録されない</t>
        </is>
      </c>
      <c r="C67" s="9" t="inlineStr">
        <is>
          <t>データ保全：従業員の同一性を保つ</t>
        </is>
      </c>
      <c r="D67" s="10" t="inlineStr">
        <is>
          <t>AC-55</t>
        </is>
      </c>
      <c r="E67" s="14" t="inlineStr">
        <is>
          <t>L0 リリース不可</t>
        </is>
      </c>
      <c r="F67" s="9" t="inlineStr">
        <is>
          <t>従業員にラクミー側の従業員IDが付番され、履歴と実績がそれに紐づく</t>
        </is>
      </c>
      <c r="G67" s="9" t="inlineStr">
        <is>
          <t>従業員IDが無い従業員=0件。外部IDを変更しても、その従業員の設定変更履歴と過去月の実績が変わらない（差分0円・0件）</t>
        </is>
      </c>
      <c r="H67" s="9" t="inlineStr">
        <is>
          <t>★中止</t>
        </is>
      </c>
      <c r="I67" s="9" t="inlineStr">
        <is>
          <t>従業員IDは登録時に自動付番し、あとから変更しない。履歴・実績の外部キーは従業員IDにする。従業員コードと外部IDは表示・突合のための属性として持つ</t>
        </is>
      </c>
      <c r="J67" s="9" t="inlineStr">
        <is>
          <t>従業員一覧／従業員詳細</t>
        </is>
      </c>
      <c r="K67" s="9" t="inlineStr">
        <is>
          <t>T-I20 T-Z02 R-01</t>
        </is>
      </c>
      <c r="L67" s="9" t="inlineStr">
        <is>
          <t>ケース別 ＞ CSVの列名がラクミーと違うとき ／ ケース別 ＞ すでにご利用中のお客様 ／ ケース別 ＞ 数字が合わないとき</t>
        </is>
      </c>
      <c r="M67" s="9" t="inlineStr"/>
      <c r="N67" s="9" t="inlineStr">
        <is>
          <t>T-I20.png</t>
        </is>
      </c>
      <c r="O67" s="12" t="inlineStr"/>
      <c r="P67" s="13" t="inlineStr"/>
      <c r="Q67" s="12" t="inlineStr"/>
      <c r="R67" s="12" t="inlineStr"/>
    </row>
    <row r="68" ht="64" customHeight="1">
      <c r="A68" s="9" t="inlineStr">
        <is>
          <t>M4 顧客とCSが自分で運用できる</t>
        </is>
      </c>
      <c r="B68" s="9" t="inlineStr">
        <is>
          <t>CSVで取り込め、必要な項目だけ出力でき、数字がおかしいときに原因を追える</t>
        </is>
      </c>
      <c r="C68" s="9" t="inlineStr">
        <is>
          <t>入出力：ID体系の違いを吸収</t>
        </is>
      </c>
      <c r="D68" s="10" t="inlineStr">
        <is>
          <t>AC-56</t>
        </is>
      </c>
      <c r="E68" s="11" t="inlineStr">
        <is>
          <t>L1 MVP必須</t>
        </is>
      </c>
      <c r="F68" s="9" t="inlineStr">
        <is>
          <t>勤怠システムごとの外部IDを従業員IDに対応づけられる</t>
        </is>
      </c>
      <c r="G68" s="9" t="inlineStr">
        <is>
          <t>1名が複数の勤怠システムの外部IDを持てる（E0001＝King of Time 1001／ジョブカン JB-001）。対応表に無い外部IDは取り込まれず、件数と理由が表示される（黙って登録=0件）</t>
        </is>
      </c>
      <c r="H68" s="9" t="inlineStr">
        <is>
          <t>不可</t>
        </is>
      </c>
      <c r="I68" s="9" t="inlineStr">
        <is>
          <t>「勤怠システム＋外部ID → 従業員ID」の対応をデータで保持する。列名の対応（列マッピングテンプレート）とは別に持つ</t>
        </is>
      </c>
      <c r="J68" s="9" t="inlineStr">
        <is>
          <t>列マッピングテンプレート／設定インポート</t>
        </is>
      </c>
      <c r="K68" s="9" t="inlineStr">
        <is>
          <t>T-I17 T-I20</t>
        </is>
      </c>
      <c r="L68" s="9" t="inlineStr">
        <is>
          <t>よくあるご質問 ＞ CSVの取り込みでエラーになります ／ ケース別 ＞ CSVの列名がラクミーと違うとき</t>
        </is>
      </c>
      <c r="M68" s="9" t="inlineStr"/>
      <c r="N68" s="9" t="inlineStr">
        <is>
          <t>T-I17.png</t>
        </is>
      </c>
      <c r="O68" s="12" t="inlineStr"/>
      <c r="P68" s="13" t="inlineStr"/>
      <c r="Q68" s="12" t="inlineStr"/>
      <c r="R68" s="12" t="inlineStr"/>
    </row>
    <row r="69" ht="274" customHeight="1">
      <c r="A69" s="9" t="inlineStr">
        <is>
          <t>M4 顧客とCSが自分で運用できる</t>
        </is>
      </c>
      <c r="B69" s="9" t="inlineStr">
        <is>
          <t>CSVで取り込め、必要な項目だけ出力でき、数字がおかしいときに原因を追える</t>
        </is>
      </c>
      <c r="C69" s="9" t="inlineStr">
        <is>
          <t>画面：実績が出る前も金額が見える</t>
        </is>
      </c>
      <c r="D69" s="10" t="inlineStr">
        <is>
          <t>AC-57</t>
        </is>
      </c>
      <c r="E69" s="11" t="inlineStr">
        <is>
          <t>L1 MVP必須</t>
        </is>
      </c>
      <c r="F69" s="9" t="inlineStr">
        <is>
          <t>概算と実績を切り替えられ、差分が読める</t>
        </is>
      </c>
      <c r="G69" s="9" t="inlineStr">
        <is>
          <t>月別は概算⇄実績を切り替えられ、実績モードで 想定給与・給与・給与実績差分 が表示される（差分＝給与−想定給与、計算違い0件）。日別も概算⇄実績を切り替えられ、実績モードで想定給与・給与実績差分が表示される（欠落=0件。概算の日別はAC-60）。実績データ取込の前でも概算モードで金額が表示される（空欄=0件）。エクスポートの実績項目に給与実績差分が選べる。概算モードで表示するのは実績データが無くても値が決まる列だけ（名前・日時/年月・雇用区分・所属店舗・給与単位・単位給与額・想定労働日数・想定労働時間/想定勤務時間・みなし労働時間・想定給与）。給与・給与実績差分・勤務日数・総労働時間/勤務時間・各差分・所属店舗労働時間・ヘルプ先店舗・ヘルプ時間・ヘルプ人件費・深夜残業時間・深夜残業代は実績モードのみ（判断22。3画面6タブで同じ）（食い違う列=0件）</t>
        </is>
      </c>
      <c r="H69" s="9" t="inlineStr">
        <is>
          <t>不可</t>
        </is>
      </c>
      <c r="I69" s="9" t="inlineStr">
        <is>
          <t>月別は概算モードで基本列のみ、実績モードで実績列を追加表示する。日別も概算⇄実績を切り替える（判断21）。実績モードに想定給与・給与実績差分を含める。日次の想定給与は月額の単価を所定労働日割（判断1）で1日あたりに割った額。従業員詳細では絞り込みではなく表示の切替として持つ</t>
        </is>
      </c>
      <c r="J69" s="9" t="inlineStr">
        <is>
          <t>給与実績一覧（月別）／従業員別 給与実績／従業員詳細（給与実績）／設定・実績エクスポート</t>
        </is>
      </c>
      <c r="K69" s="9" t="inlineStr">
        <is>
          <t>T-D09 T-P02 T-A02 T-A05 T-E09</t>
        </is>
      </c>
      <c r="L69" s="9" t="inlineStr">
        <is>
          <t>操作手順 ＞ 毎月の人件費を確定する ／ 操作手順 ＞ データを出力する</t>
        </is>
      </c>
      <c r="M69" s="9" t="inlineStr"/>
      <c r="N69" s="9" t="inlineStr">
        <is>
          <t>T-D09.png</t>
        </is>
      </c>
      <c r="O69" s="12" t="inlineStr"/>
      <c r="P69" s="13" t="inlineStr"/>
      <c r="Q69" s="12" t="inlineStr"/>
      <c r="R69" s="12" t="inlineStr"/>
    </row>
    <row r="70" ht="64" customHeight="1">
      <c r="A70" s="9" t="inlineStr">
        <is>
          <t>M4 顧客とCSが自分で運用できる</t>
        </is>
      </c>
      <c r="B70" s="9" t="inlineStr">
        <is>
          <t>CSVで取り込め、必要な項目だけ出力でき、数字がおかしいときに原因を追える</t>
        </is>
      </c>
      <c r="C70" s="9" t="inlineStr">
        <is>
          <t>画面：たどり着ける</t>
        </is>
      </c>
      <c r="D70" s="10" t="inlineStr">
        <is>
          <t>AC-58</t>
        </is>
      </c>
      <c r="E70" s="15" t="inlineStr">
        <is>
          <t>L2 次段階</t>
        </is>
      </c>
      <c r="F70" s="9" t="inlineStr">
        <is>
          <t>従業員一覧から、絞り込んだ店舗のまま給与実績一覧と設定変更履歴へ移動できる</t>
        </is>
      </c>
      <c r="G70" s="9" t="inlineStr">
        <is>
          <t>店舗で絞った状態から2経路とも到達し、遷移先が同じ店舗で絞り込まれている（絞り込みが引き継がれない=0件）</t>
        </is>
      </c>
      <c r="H70" s="9" t="inlineStr">
        <is>
          <t>影響なし</t>
        </is>
      </c>
      <c r="I70" s="9" t="inlineStr">
        <is>
          <t>従業員一覧の店舗フィルタの値を引き継いで遷移する。画面は新設せず既存の給与実績一覧・設定変更履歴一覧を開く</t>
        </is>
      </c>
      <c r="J70" s="9" t="inlineStr">
        <is>
          <t>従業員一覧</t>
        </is>
      </c>
      <c r="K70" s="9" t="inlineStr">
        <is>
          <t>T-L06</t>
        </is>
      </c>
      <c r="L70" s="9" t="inlineStr">
        <is>
          <t>操作手順 ＞ 従業員を探す・削除する</t>
        </is>
      </c>
      <c r="M70" s="9" t="inlineStr"/>
      <c r="N70" s="9" t="inlineStr">
        <is>
          <t>T-L06.png</t>
        </is>
      </c>
      <c r="O70" s="12" t="inlineStr"/>
      <c r="P70" s="13" t="inlineStr"/>
      <c r="Q70" s="12" t="inlineStr"/>
      <c r="R70" s="12" t="inlineStr"/>
    </row>
    <row r="71" ht="109" customHeight="1">
      <c r="A71" s="9" t="inlineStr">
        <is>
          <t>M2 金額が算式どおりに出る</t>
        </is>
      </c>
      <c r="B71" s="9" t="inlineStr">
        <is>
          <t>確定した算式で人件費が計算され、店舗別の合計が全社と一致する</t>
        </is>
      </c>
      <c r="C71" s="9" t="inlineStr">
        <is>
          <t>計算：日割りの分母を持つ</t>
        </is>
      </c>
      <c r="D71" s="10" t="inlineStr">
        <is>
          <t>AC-59</t>
        </is>
      </c>
      <c r="E71" s="11" t="inlineStr">
        <is>
          <t>L1 MVP必須</t>
        </is>
      </c>
      <c r="F71" s="9" t="inlineStr">
        <is>
          <t>想定労働日数が解決され、月給者の日割りが計算できる</t>
        </is>
      </c>
      <c r="G71" s="9" t="inlineStr">
        <is>
          <t>想定労働日数は月給者だけの項目。月給者は未入力なら所属店舗の休業日設定から求めた営業日数が使われる（解決できない月給者=0件）。入力があればそちらが優先される。日次の想定給与＝単位給与額÷想定労働日数（月給者）／単位給与額×実働時間（時給者。日数を使わないため入力欄を出さない）で、計算違い0件</t>
        </is>
      </c>
      <c r="H71" s="9" t="inlineStr">
        <is>
          <t>不可</t>
        </is>
      </c>
      <c r="I71" s="9" t="inlineStr">
        <is>
          <t>想定労働日数は非必須。給与単位が時給の従業員には入力欄を出さない。未入力時は所属店舗の休業日設定から求めた営業日数を参照する。休業日設定が未設定の場合の扱いを決めておく（この機能単独では完結しない）</t>
        </is>
      </c>
      <c r="J71" s="9" t="inlineStr">
        <is>
          <t>従業員登録／従業員詳細／給与実績一覧</t>
        </is>
      </c>
      <c r="K71" s="9" t="inlineStr">
        <is>
          <t>C-018</t>
        </is>
      </c>
      <c r="L71" s="9" t="inlineStr">
        <is>
          <t>操作手順 ＞ 毎月の人件費を確定する</t>
        </is>
      </c>
      <c r="M71" s="9" t="inlineStr"/>
      <c r="N71" s="9" t="inlineStr">
        <is>
          <t>C-018.png</t>
        </is>
      </c>
      <c r="O71" s="12" t="inlineStr"/>
      <c r="P71" s="13" t="inlineStr"/>
      <c r="Q71" s="12" t="inlineStr"/>
      <c r="R71" s="12" t="inlineStr"/>
    </row>
    <row r="72" ht="94" customHeight="1">
      <c r="A72" s="9" t="inlineStr">
        <is>
          <t>M2 金額が算式どおりに出る</t>
        </is>
      </c>
      <c r="B72" s="9" t="inlineStr">
        <is>
          <t>確定した算式で人件費が計算され、店舗別の合計が全社と一致する</t>
        </is>
      </c>
      <c r="C72" s="9" t="inlineStr">
        <is>
          <t>計算：概算の日別は営業日でならす</t>
        </is>
      </c>
      <c r="D72" s="10" t="inlineStr">
        <is>
          <t>AC-60</t>
        </is>
      </c>
      <c r="E72" s="11" t="inlineStr">
        <is>
          <t>L1 MVP必須</t>
        </is>
      </c>
      <c r="F72" s="9" t="inlineStr">
        <is>
          <t>日別タブで概算モードに切り替えると、実績が無くても当月の見込みが日別に出る</t>
        </is>
      </c>
      <c r="G72" s="9" t="inlineStr">
        <is>
          <t>日別タブに概算／実績の切替がある。概算モードの1日あたり＝月次の概算給与÷当月の営業日数（営業日は所属店舗の休業日設定から求める）。当月の全営業日に行が出て、日別の合計が月次の概算給与と1円の差もなく一致する（端数は最大剰余）</t>
        </is>
      </c>
      <c r="H72" s="9" t="inlineStr">
        <is>
          <t>不可</t>
        </is>
      </c>
      <c r="I72" s="9" t="inlineStr">
        <is>
          <t>切替はモック実装済み。金額の配分はサーバ実装が必要。実績モードの想定給与列（月次概算÷想定労働日数）とは別の数字になるため、画面に注記があること</t>
        </is>
      </c>
      <c r="J72" s="9" t="inlineStr">
        <is>
          <t>給与実績一覧 日別実績</t>
        </is>
      </c>
      <c r="K72" s="9" t="inlineStr">
        <is>
          <t>C-019</t>
        </is>
      </c>
      <c r="L72" s="9" t="inlineStr">
        <is>
          <t>操作手順 ＞ 毎月の人件費を確定する</t>
        </is>
      </c>
      <c r="M72" s="9" t="inlineStr"/>
      <c r="N72" s="9" t="inlineStr">
        <is>
          <t>C-019.png</t>
        </is>
      </c>
      <c r="O72" s="12" t="inlineStr"/>
      <c r="P72" s="13" t="inlineStr"/>
      <c r="Q72" s="12" t="inlineStr"/>
      <c r="R72" s="12" t="inlineStr"/>
    </row>
  </sheetData>
  <autoFilter ref="A12:R72"/>
  <mergeCells count="3">
    <mergeCell ref="A2:R2"/>
    <mergeCell ref="A1:R1"/>
    <mergeCell ref="B11:J11"/>
  </mergeCells>
  <conditionalFormatting sqref="O13:O72">
    <cfRule type="cellIs" priority="1" operator="equal" dxfId="0">
      <formula>"OK"</formula>
    </cfRule>
    <cfRule type="cellIs" priority="2" operator="equal" dxfId="1">
      <formula>"NG"</formula>
    </cfRule>
  </conditionalFormatting>
  <conditionalFormatting sqref="J5:J10">
    <cfRule type="expression" priority="3" dxfId="0">
      <formula>LEFT($J5,2)="完了"</formula>
    </cfRule>
    <cfRule type="expression" priority="4" dxfId="1">
      <formula>LEFT($J5,2)="未達"</formula>
    </cfRule>
  </conditionalFormatting>
  <dataValidations count="1">
    <dataValidation sqref="O13:O72" showDropDown="0" showInputMessage="0" showErrorMessage="0" allowBlank="1" type="list">
      <formula1>"OK,NG,対象外"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2026-08-13T06:32:22Z</dcterms:created>
  <dcterms:modified xmlns:dcterms="http://purl.org/dc/terms/" xmlns:xsi="http://www.w3.org/2001/XMLSchema-instance" xsi:type="dcterms:W3CDTF">2026-08-13T06:32:22Z</dcterms:modified>
</cp:coreProperties>
</file>