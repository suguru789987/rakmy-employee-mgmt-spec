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入条件表" sheetId="1" state="visible" r:id="rId1"/>
  </sheets>
  <definedNames>
    <definedName name="_xlnm._FilterDatabase" localSheetId="0" hidden="1">'受入条件表'!$A$12:$Q$63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color rgb="0057606A"/>
      <sz val="10"/>
    </font>
    <font>
      <b val="1"/>
      <sz val="10"/>
    </font>
    <font>
      <sz val="10"/>
    </font>
    <font>
      <b val="1"/>
      <sz val="11"/>
    </font>
    <font>
      <b val="1"/>
      <sz val="12"/>
    </font>
    <font>
      <b val="1"/>
      <color rgb="00CF222E"/>
      <sz val="10"/>
    </font>
  </fonts>
  <fills count="7">
    <fill>
      <patternFill/>
    </fill>
    <fill>
      <patternFill patternType="gray125"/>
    </fill>
    <fill>
      <patternFill patternType="solid">
        <fgColor rgb="00F1F3F5"/>
      </patternFill>
    </fill>
    <fill>
      <patternFill patternType="solid">
        <fgColor rgb="00FFF9DB"/>
      </patternFill>
    </fill>
    <fill>
      <patternFill patternType="solid">
        <fgColor rgb="00DDF4FF"/>
      </patternFill>
    </fill>
    <fill>
      <patternFill patternType="solid">
        <fgColor rgb="00FFEBE9"/>
      </patternFill>
    </fill>
    <fill>
      <patternFill patternType="solid">
        <fgColor rgb="00F6F8FA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2" borderId="1" pivotButton="0" quotePrefix="0" xfId="0"/>
    <xf numFmtId="0" fontId="6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DAFBE1"/>
        </patternFill>
      </fill>
    </dxf>
    <dxf>
      <fill>
        <patternFill patternType="solid">
          <fgColor rgb="00FFEB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showGridLines="0" workbookViewId="0">
      <pane xSplit="3" ySplit="12" topLeftCell="D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9" customWidth="1" min="4" max="4"/>
    <col width="12" customWidth="1" min="5" max="5"/>
    <col width="38" customWidth="1" min="6" max="6"/>
    <col width="44" customWidth="1" min="7" max="7"/>
    <col width="40" customWidth="1" min="8" max="8"/>
    <col width="34" customWidth="1" min="9" max="9"/>
    <col width="22" customWidth="1" min="10" max="10"/>
    <col width="16" customWidth="1" min="11" max="11"/>
    <col width="32" customWidth="1" min="12" max="12"/>
    <col width="14" customWidth="1" min="13" max="13"/>
    <col width="9" customWidth="1" min="14" max="14"/>
    <col width="20" customWidth="1" min="15" max="15"/>
    <col width="11" customWidth="1" min="16" max="16"/>
    <col width="11" customWidth="1" min="17" max="17"/>
  </cols>
  <sheetData>
    <row r="1">
      <c r="A1" s="1" t="inlineStr">
        <is>
          <t>従業員管理 受入条件表 ─ どこまで実装できれば合格か</t>
        </is>
      </c>
    </row>
    <row r="2">
      <c r="A2" s="2" t="inlineStr">
        <is>
          <t>「合否」に OK / NG を入れると下の到達状況が自動更新されます。用語の定義は 20260805_従業員管理_00_定義表.xlsx、操作手順は 20260805_従業員管理_02_検証プラン.xlsx。</t>
        </is>
      </c>
    </row>
    <row r="4">
      <c r="A4" s="3" t="inlineStr">
        <is>
          <t>マイルストーン</t>
        </is>
      </c>
      <c r="B4" s="3" t="inlineStr">
        <is>
          <t>完了条件</t>
        </is>
      </c>
      <c r="E4" s="3" t="inlineStr">
        <is>
          <t>条件数</t>
        </is>
      </c>
      <c r="F4" s="3" t="inlineStr">
        <is>
          <t>OK</t>
        </is>
      </c>
      <c r="G4" s="3" t="inlineStr">
        <is>
          <t>NG</t>
        </is>
      </c>
      <c r="H4" s="3" t="inlineStr">
        <is>
          <t>未判定</t>
        </is>
      </c>
      <c r="I4" s="3" t="inlineStr">
        <is>
          <t>到達率</t>
        </is>
      </c>
      <c r="J4" s="3" t="inlineStr">
        <is>
          <t>状態</t>
        </is>
      </c>
    </row>
    <row r="5" ht="20" customHeight="1">
      <c r="A5" s="4" t="inlineStr">
        <is>
          <t>M1 過去が動かない構造ができる</t>
        </is>
      </c>
      <c r="B5" s="5" t="inlineStr">
        <is>
          <t>設定が適用日付つきで保存され、履歴が積まれる。同じ従業員コードが二重に登録されない</t>
        </is>
      </c>
      <c r="C5" s="6" t="n"/>
      <c r="D5" s="6" t="n"/>
      <c r="E5" s="7">
        <f>COUNTIF($A$13:$A$63,$A5)</f>
        <v/>
      </c>
      <c r="F5" s="7">
        <f>COUNTIFS($A$13:$A$63,$A5,$N$13:$N$63,"OK")</f>
        <v/>
      </c>
      <c r="G5" s="7">
        <f>COUNTIFS($A$13:$A$63,$A5,$N$13:$N$63,"NG")</f>
        <v/>
      </c>
      <c r="H5" s="7">
        <f>E5-F5-G5</f>
        <v/>
      </c>
      <c r="I5" s="8">
        <f>IF(E5=0,"",F5/E5)</f>
        <v/>
      </c>
      <c r="J5" s="7">
        <f>IF(G5&gt;0,"未達（NG "&amp;G5&amp;"件）",IF(H5&gt;0,"進行中（残 "&amp;H5&amp;"件）","完了"))</f>
        <v/>
      </c>
    </row>
    <row r="6" ht="20" customHeight="1">
      <c r="A6" s="4" t="inlineStr">
        <is>
          <t>M2 金額が算式どおりに出る</t>
        </is>
      </c>
      <c r="B6" s="5" t="inlineStr">
        <is>
          <t>確定した算式で人件費が計算され、店舗別の合計が全社と一致する</t>
        </is>
      </c>
      <c r="C6" s="6" t="n"/>
      <c r="D6" s="6" t="n"/>
      <c r="E6" s="7">
        <f>COUNTIF($A$13:$A$63,$A6)</f>
        <v/>
      </c>
      <c r="F6" s="7">
        <f>COUNTIFS($A$13:$A$63,$A6,$N$13:$N$63,"OK")</f>
        <v/>
      </c>
      <c r="G6" s="7">
        <f>COUNTIFS($A$13:$A$63,$A6,$N$13:$N$63,"NG")</f>
        <v/>
      </c>
      <c r="H6" s="7">
        <f>E6-F6-G6</f>
        <v/>
      </c>
      <c r="I6" s="8">
        <f>IF(E6=0,"",F6/E6)</f>
        <v/>
      </c>
      <c r="J6" s="7">
        <f>IF(G6&gt;0,"未達（NG "&amp;G6&amp;"件）",IF(H6&gt;0,"進行中（残 "&amp;H6&amp;"件）","完了"))</f>
        <v/>
      </c>
    </row>
    <row r="7" ht="20" customHeight="1">
      <c r="A7" s="4" t="inlineStr">
        <is>
          <t>M3 月次を確定して外部へ渡せる</t>
        </is>
      </c>
      <c r="B7" s="5" t="inlineStr">
        <is>
          <t>締めた月は動かず、解除すれば再計算される。締めは会社スコープのみ</t>
        </is>
      </c>
      <c r="C7" s="6" t="n"/>
      <c r="D7" s="6" t="n"/>
      <c r="E7" s="7">
        <f>COUNTIF($A$13:$A$63,$A7)</f>
        <v/>
      </c>
      <c r="F7" s="7">
        <f>COUNTIFS($A$13:$A$63,$A7,$N$13:$N$63,"OK")</f>
        <v/>
      </c>
      <c r="G7" s="7">
        <f>COUNTIFS($A$13:$A$63,$A7,$N$13:$N$63,"NG")</f>
        <v/>
      </c>
      <c r="H7" s="7">
        <f>E7-F7-G7</f>
        <v/>
      </c>
      <c r="I7" s="8">
        <f>IF(E7=0,"",F7/E7)</f>
        <v/>
      </c>
      <c r="J7" s="7">
        <f>IF(G7&gt;0,"未達（NG "&amp;G7&amp;"件）",IF(H7&gt;0,"進行中（残 "&amp;H7&amp;"件）","完了"))</f>
        <v/>
      </c>
    </row>
    <row r="8" ht="20" customHeight="1">
      <c r="A8" s="4" t="inlineStr">
        <is>
          <t>M4 顧客とCSが自分で運用できる</t>
        </is>
      </c>
      <c r="B8" s="5" t="inlineStr">
        <is>
          <t>CSVで取り込め、必要な項目だけ出力でき、原因を追える</t>
        </is>
      </c>
      <c r="C8" s="6" t="n"/>
      <c r="D8" s="6" t="n"/>
      <c r="E8" s="7">
        <f>COUNTIF($A$13:$A$63,$A8)</f>
        <v/>
      </c>
      <c r="F8" s="7">
        <f>COUNTIFS($A$13:$A$63,$A8,$N$13:$N$63,"OK")</f>
        <v/>
      </c>
      <c r="G8" s="7">
        <f>COUNTIFS($A$13:$A$63,$A8,$N$13:$N$63,"NG")</f>
        <v/>
      </c>
      <c r="H8" s="7">
        <f>E8-F8-G8</f>
        <v/>
      </c>
      <c r="I8" s="8">
        <f>IF(E8=0,"",F8/E8)</f>
        <v/>
      </c>
      <c r="J8" s="7">
        <f>IF(G8&gt;0,"未達（NG "&amp;G8&amp;"件）",IF(H8&gt;0,"進行中（残 "&amp;H8&amp;"件）","完了"))</f>
        <v/>
      </c>
    </row>
    <row r="9" ht="20" customHeight="1">
      <c r="A9" s="4" t="inlineStr">
        <is>
          <t>M5 既存顧客を壊さない</t>
        </is>
      </c>
      <c r="B9" s="5" t="inlineStr">
        <is>
          <t>移行しても既存データと過去月の人件費が変わらない</t>
        </is>
      </c>
      <c r="C9" s="6" t="n"/>
      <c r="D9" s="6" t="n"/>
      <c r="E9" s="7">
        <f>COUNTIF($A$13:$A$63,$A9)</f>
        <v/>
      </c>
      <c r="F9" s="7">
        <f>COUNTIFS($A$13:$A$63,$A9,$N$13:$N$63,"OK")</f>
        <v/>
      </c>
      <c r="G9" s="7">
        <f>COUNTIFS($A$13:$A$63,$A9,$N$13:$N$63,"NG")</f>
        <v/>
      </c>
      <c r="H9" s="7">
        <f>E9-F9-G9</f>
        <v/>
      </c>
      <c r="I9" s="8">
        <f>IF(E9=0,"",F9/E9)</f>
        <v/>
      </c>
      <c r="J9" s="7">
        <f>IF(G9&gt;0,"未達（NG "&amp;G9&amp;"件）",IF(H9&gt;0,"進行中（残 "&amp;H9&amp;"件）","完了"))</f>
        <v/>
      </c>
    </row>
    <row r="10" ht="20" customHeight="1">
      <c r="A10" s="4" t="inlineStr">
        <is>
          <t>M6 次段階（今回は実装しない）</t>
        </is>
      </c>
      <c r="B10" s="5" t="inlineStr">
        <is>
          <t>無くても業務は回る。実測を記録し次の優先順位を決める</t>
        </is>
      </c>
      <c r="C10" s="6" t="n"/>
      <c r="D10" s="6" t="n"/>
      <c r="E10" s="7">
        <f>COUNTIF($A$13:$A$63,$A10)</f>
        <v/>
      </c>
      <c r="F10" s="7">
        <f>COUNTIFS($A$13:$A$63,$A10,$N$13:$N$63,"OK")</f>
        <v/>
      </c>
      <c r="G10" s="7">
        <f>COUNTIFS($A$13:$A$63,$A10,$N$13:$N$63,"NG")</f>
        <v/>
      </c>
      <c r="H10" s="7">
        <f>E10-F10-G10</f>
        <v/>
      </c>
      <c r="I10" s="8">
        <f>IF(E10=0,"",F10/E10)</f>
        <v/>
      </c>
      <c r="J10" s="7">
        <f>IF(G10&gt;0,"未達（NG "&amp;G10&amp;"件）",IF(H10&gt;0,"進行中（残 "&amp;H10&amp;"件）","完了"))</f>
        <v/>
      </c>
    </row>
    <row r="11" ht="24" customHeight="1">
      <c r="A11" s="9" t="inlineStr">
        <is>
          <t>総合判定</t>
        </is>
      </c>
      <c r="B11" s="10">
        <f>IF(COUNTIFS($E$13:$E$63,"L0*",$N$13:$N$63,"NG")&gt;0,"✗ リリース不可（L0にNG）",IF(COUNTIFS($E$13:$E$63,"L1*",$N$13:$N$63,"NG")&gt;0,"△ 設計MVP未達（L1にNG）",IF(COUNTIFS($E$13:$E$63,"L0*",$N$13:$N$63,"OK")+COUNTIFS($E$13:$E$63,"L1*",$N$13:$N$63,"OK")&lt;COUNTIF($E$13:$E$63,"L0*")+COUNTIF($E$13:$E$63,"L1*"),"進行中（L0・L1に未判定あり）","◎ リリース可（L0・L1すべてOK）")))</f>
        <v/>
      </c>
      <c r="C11" s="11" t="n"/>
      <c r="D11" s="11" t="n"/>
      <c r="E11" s="11" t="n"/>
      <c r="F11" s="11" t="n"/>
      <c r="G11" s="11" t="n"/>
      <c r="H11" s="11" t="n"/>
      <c r="I11" s="11" t="n"/>
      <c r="J11" s="12" t="n"/>
    </row>
    <row r="12" ht="34" customHeight="1">
      <c r="A12" s="13" t="inlineStr">
        <is>
          <t>マイルストーン</t>
        </is>
      </c>
      <c r="B12" s="13" t="inlineStr">
        <is>
          <t>マイルストーンの完了条件</t>
        </is>
      </c>
      <c r="C12" s="13" t="inlineStr">
        <is>
          <t>設計ポイント</t>
        </is>
      </c>
      <c r="D12" s="13" t="inlineStr">
        <is>
          <t>条件ID</t>
        </is>
      </c>
      <c r="E12" s="13" t="inlineStr">
        <is>
          <t>実装レベル</t>
        </is>
      </c>
      <c r="F12" s="13" t="inlineStr">
        <is>
          <t>何を実装するか</t>
        </is>
      </c>
      <c r="G12" s="13" t="inlineStr">
        <is>
          <t>合格ライン（この数値を満たせば実装完了）</t>
        </is>
      </c>
      <c r="H12" s="13" t="inlineStr">
        <is>
          <t>実装できていないと起きること</t>
        </is>
      </c>
      <c r="I12" s="13" t="inlineStr">
        <is>
          <t>実装箇所</t>
        </is>
      </c>
      <c r="J12" s="13" t="inlineStr">
        <is>
          <t>確認する画面</t>
        </is>
      </c>
      <c r="K12" s="13" t="inlineStr">
        <is>
          <t>対応検証ID</t>
        </is>
      </c>
      <c r="L12" s="13" t="inlineStr">
        <is>
          <t>仕様書の根拠</t>
        </is>
      </c>
      <c r="M12" s="13" t="inlineStr">
        <is>
          <t>エビデンス</t>
        </is>
      </c>
      <c r="N12" s="13" t="inlineStr">
        <is>
          <t>合否</t>
        </is>
      </c>
      <c r="O12" s="13" t="inlineStr">
        <is>
          <t>実測値</t>
        </is>
      </c>
      <c r="P12" s="13" t="inlineStr">
        <is>
          <t>判定者</t>
        </is>
      </c>
      <c r="Q12" s="13" t="inlineStr">
        <is>
          <t>判定日</t>
        </is>
      </c>
    </row>
    <row r="13">
      <c r="A13" s="14" t="inlineStr">
        <is>
          <t>M1 過去が動かない構造ができる</t>
        </is>
      </c>
      <c r="B13" s="14" t="inlineStr">
        <is>
          <t>設定が適用日付つきで保存され、履歴が積まれる。同じ従業員コードが二重に登録されない</t>
        </is>
      </c>
      <c r="C13" s="14" t="inlineStr">
        <is>
          <t>移行：履歴の起点を作る</t>
        </is>
      </c>
      <c r="D13" s="15" t="inlineStr">
        <is>
          <t>AC-02</t>
        </is>
      </c>
      <c r="E13" s="16" t="inlineStr">
        <is>
          <t>L1 MVP必須</t>
        </is>
      </c>
      <c r="F13" s="14" t="inlineStr">
        <is>
          <t>すべての従業員に適用日付が付いている</t>
        </is>
      </c>
      <c r="G13" s="14" t="inlineStr">
        <is>
          <t>適用日付がNULLの行=0件</t>
        </is>
      </c>
      <c r="H13" s="14" t="inlineStr">
        <is>
          <t>条件付きGo不可（AC-03が担保できない）</t>
        </is>
      </c>
      <c r="I13" s="14" t="inlineStr">
        <is>
          <t>移行時に初回レコードを過去日で生成。以降の変更はこの上に積む</t>
        </is>
      </c>
      <c r="J13" s="14" t="inlineStr">
        <is>
          <t>従業員設定履歴</t>
        </is>
      </c>
      <c r="K13" s="14" t="inlineStr">
        <is>
          <t>T-Z01</t>
        </is>
      </c>
      <c r="L13" s="14" t="inlineStr">
        <is>
          <t>§第4部 11 リリース段階 ／ 第7部 15 Go・No-Go</t>
        </is>
      </c>
      <c r="M13" s="14" t="inlineStr">
        <is>
          <t>T-Z01.png</t>
        </is>
      </c>
      <c r="N13" s="17" t="inlineStr"/>
      <c r="O13" s="18" t="inlineStr"/>
      <c r="P13" s="17" t="inlineStr"/>
      <c r="Q13" s="17" t="inlineStr"/>
    </row>
    <row r="14">
      <c r="A14" s="14" t="inlineStr">
        <is>
          <t>M1 過去が動かない構造ができる</t>
        </is>
      </c>
      <c r="B14" s="14" t="inlineStr">
        <is>
          <t>設定が適用日付つきで保存され、履歴が積まれる。同じ従業員コードが二重に登録されない</t>
        </is>
      </c>
      <c r="C14" s="14" t="inlineStr">
        <is>
          <t>原則①：未来日は予約になる</t>
        </is>
      </c>
      <c r="D14" s="15" t="inlineStr">
        <is>
          <t>AC-04</t>
        </is>
      </c>
      <c r="E14" s="16" t="inlineStr">
        <is>
          <t>L1 MVP必須</t>
        </is>
      </c>
      <c r="F14" s="14" t="inlineStr">
        <is>
          <t>保存しても当日までは反映されない</t>
        </is>
      </c>
      <c r="G14" s="14" t="inlineStr">
        <is>
          <t>当日時点での反映=0件（一覧は旧値のまま）</t>
        </is>
      </c>
      <c r="H14" s="14" t="inlineStr">
        <is>
          <t>不可（本機能の中心価値）</t>
        </is>
      </c>
      <c r="I14" s="14" t="inlineStr">
        <is>
          <t>設定を「適用日付つきの履歴レコード」として保存し、参照時は基準日で有効行を解決する。上書きしない</t>
        </is>
      </c>
      <c r="J14" s="14" t="inlineStr">
        <is>
          <t>従業員詳細 → 従業員一覧</t>
        </is>
      </c>
      <c r="K14" s="14" t="inlineStr">
        <is>
          <t>T-D04 C-006</t>
        </is>
      </c>
      <c r="L14" s="14" t="inlineStr">
        <is>
          <t>§第1部 7 原則① ／ 第2部 フロー3・4</t>
        </is>
      </c>
      <c r="M14" s="14" t="inlineStr">
        <is>
          <t>T-D04.png</t>
        </is>
      </c>
      <c r="N14" s="17" t="inlineStr"/>
      <c r="O14" s="18" t="inlineStr"/>
      <c r="P14" s="17" t="inlineStr"/>
      <c r="Q14" s="17" t="inlineStr"/>
    </row>
    <row r="15">
      <c r="A15" s="14" t="inlineStr">
        <is>
          <t>M1 過去が動かない構造ができる</t>
        </is>
      </c>
      <c r="B15" s="14" t="inlineStr">
        <is>
          <t>設定が適用日付つきで保存され、履歴が積まれる。同じ従業員コードが二重に登録されない</t>
        </is>
      </c>
      <c r="C15" s="14" t="inlineStr">
        <is>
          <t>原則①：当日・過去日は即時</t>
        </is>
      </c>
      <c r="D15" s="15" t="inlineStr">
        <is>
          <t>AC-06</t>
        </is>
      </c>
      <c r="E15" s="16" t="inlineStr">
        <is>
          <t>L1 MVP必須</t>
        </is>
      </c>
      <c r="F15" s="14" t="inlineStr">
        <is>
          <t>保存直後に反映される</t>
        </is>
      </c>
      <c r="G15" s="14" t="inlineStr">
        <is>
          <t>反映の遅延=0（再読込で新値）</t>
        </is>
      </c>
      <c r="H15" s="14" t="inlineStr">
        <is>
          <t>不可（通常の変更ができない）</t>
        </is>
      </c>
      <c r="I15" s="14" t="inlineStr">
        <is>
          <t>基準日&lt;=当日の行を有効として即時解決する</t>
        </is>
      </c>
      <c r="J15" s="14" t="inlineStr">
        <is>
          <t>従業員詳細 → 従業員一覧</t>
        </is>
      </c>
      <c r="K15" s="14" t="inlineStr">
        <is>
          <t>T-D06 T-R02 T-R07</t>
        </is>
      </c>
      <c r="L15" s="14" t="inlineStr">
        <is>
          <t>§第1部 7 原則① ／ 第2部 フロー3・4</t>
        </is>
      </c>
      <c r="M15" s="14" t="inlineStr">
        <is>
          <t>T-D06.png</t>
        </is>
      </c>
      <c r="N15" s="17" t="inlineStr"/>
      <c r="O15" s="18" t="inlineStr"/>
      <c r="P15" s="17" t="inlineStr"/>
      <c r="Q15" s="17" t="inlineStr"/>
    </row>
    <row r="16">
      <c r="A16" s="14" t="inlineStr">
        <is>
          <t>M1 過去が動かない構造ができる</t>
        </is>
      </c>
      <c r="B16" s="14" t="inlineStr">
        <is>
          <t>設定が適用日付つきで保存され、履歴が積まれる。同じ従業員コードが二重に登録されない</t>
        </is>
      </c>
      <c r="C16" s="14" t="inlineStr">
        <is>
          <t>原則①：過去は不変</t>
        </is>
      </c>
      <c r="D16" s="15" t="inlineStr">
        <is>
          <t>AC-07</t>
        </is>
      </c>
      <c r="E16" s="16" t="inlineStr">
        <is>
          <t>L1 MVP必須</t>
        </is>
      </c>
      <c r="F16" s="14" t="inlineStr">
        <is>
          <t>過去の履歴が書き換わらない</t>
        </is>
      </c>
      <c r="G16" s="14" t="inlineStr">
        <is>
          <t>履歴が1行増え、既存行の差分=0</t>
        </is>
      </c>
      <c r="H16" s="14" t="inlineStr">
        <is>
          <t>不可（AC-03が連鎖して壊れる）</t>
        </is>
      </c>
      <c r="I16" s="14" t="inlineStr">
        <is>
          <t>履歴テーブルはINSERTのみ。UPDATE/DELETEを行わない</t>
        </is>
      </c>
      <c r="J16" s="14" t="inlineStr">
        <is>
          <t>従業員詳細／設定履歴</t>
        </is>
      </c>
      <c r="K16" s="14" t="inlineStr">
        <is>
          <t>T-D01 T-H01 R-01</t>
        </is>
      </c>
      <c r="L16" s="14" t="inlineStr">
        <is>
          <t>§第1部 7 原則① ／ 第2部 フロー3・4</t>
        </is>
      </c>
      <c r="M16" s="14" t="inlineStr">
        <is>
          <t>T-D01.png</t>
        </is>
      </c>
      <c r="N16" s="17" t="inlineStr"/>
      <c r="O16" s="18" t="inlineStr"/>
      <c r="P16" s="17" t="inlineStr"/>
      <c r="Q16" s="17" t="inlineStr"/>
    </row>
    <row r="17">
      <c r="A17" s="14" t="inlineStr">
        <is>
          <t>M1 過去が動かない構造ができる</t>
        </is>
      </c>
      <c r="B17" s="14" t="inlineStr">
        <is>
          <t>設定が適用日付つきで保存され、履歴が積まれる。同じ従業員コードが二重に登録されない</t>
        </is>
      </c>
      <c r="C17" s="14" t="inlineStr">
        <is>
          <t>原則①：原因を追える</t>
        </is>
      </c>
      <c r="D17" s="15" t="inlineStr">
        <is>
          <t>AC-08</t>
        </is>
      </c>
      <c r="E17" s="16" t="inlineStr">
        <is>
          <t>L1 MVP必須</t>
        </is>
      </c>
      <c r="F17" s="14" t="inlineStr">
        <is>
          <t>変更の経路が記録される</t>
        </is>
      </c>
      <c r="G17" s="14" t="inlineStr">
        <is>
          <t>4種すべてが記録・絞り込み可能</t>
        </is>
      </c>
      <c r="H17" s="14" t="inlineStr">
        <is>
          <t>不可（数字の異常時に切り分けられない）</t>
        </is>
      </c>
      <c r="I17" s="14" t="inlineStr">
        <is>
          <t>履歴に変更ソース列を持ち、更新経路ごとに値を入れる</t>
        </is>
      </c>
      <c r="J17" s="14" t="inlineStr">
        <is>
          <t>従業員設定履歴</t>
        </is>
      </c>
      <c r="K17" s="14" t="inlineStr">
        <is>
          <t>T-H02</t>
        </is>
      </c>
      <c r="L17" s="14" t="inlineStr">
        <is>
          <t>§第1部 7 原則① ／ 第2部 フロー3・4</t>
        </is>
      </c>
      <c r="M17" s="14" t="inlineStr">
        <is>
          <t>T-H02.png</t>
        </is>
      </c>
      <c r="N17" s="17" t="inlineStr"/>
      <c r="O17" s="18" t="inlineStr"/>
      <c r="P17" s="17" t="inlineStr"/>
      <c r="Q17" s="17" t="inlineStr"/>
    </row>
    <row r="18">
      <c r="A18" s="14" t="inlineStr">
        <is>
          <t>M1 過去が動かない構造ができる</t>
        </is>
      </c>
      <c r="B18" s="14" t="inlineStr">
        <is>
          <t>設定が適用日付つきで保存され、履歴が積まれる。同じ従業員コードが二重に登録されない</t>
        </is>
      </c>
      <c r="C18" s="14" t="inlineStr">
        <is>
          <t>原則①：適用日と操作日を分ける</t>
        </is>
      </c>
      <c r="D18" s="15" t="inlineStr">
        <is>
          <t>AC-09</t>
        </is>
      </c>
      <c r="E18" s="16" t="inlineStr">
        <is>
          <t>L1 MVP必須</t>
        </is>
      </c>
      <c r="F18" s="14" t="inlineStr">
        <is>
          <t>「いつから効くか」と「いつ操作したか」が別々に残る</t>
        </is>
      </c>
      <c r="G18" s="14" t="inlineStr">
        <is>
          <t>予約行で 変更反映日時 ≠ 編集日時</t>
        </is>
      </c>
      <c r="H18" s="14" t="inlineStr">
        <is>
          <t>不可（監査・顧客説明に答えられない）</t>
        </is>
      </c>
      <c r="I18" s="14" t="inlineStr">
        <is>
          <t>履歴に適用日付と作成日時の2カラムを持つ</t>
        </is>
      </c>
      <c r="J18" s="14" t="inlineStr">
        <is>
          <t>従業員設定履歴</t>
        </is>
      </c>
      <c r="K18" s="14" t="inlineStr">
        <is>
          <t>T-H02</t>
        </is>
      </c>
      <c r="L18" s="14" t="inlineStr">
        <is>
          <t>§第1部 7 原則① ／ 第2部 フロー3・4</t>
        </is>
      </c>
      <c r="M18" s="14" t="inlineStr">
        <is>
          <t>T-H02.png</t>
        </is>
      </c>
      <c r="N18" s="17" t="inlineStr"/>
      <c r="O18" s="18" t="inlineStr"/>
      <c r="P18" s="17" t="inlineStr"/>
      <c r="Q18" s="17" t="inlineStr"/>
    </row>
    <row r="19">
      <c r="A19" s="14" t="inlineStr">
        <is>
          <t>M1 過去が動かない構造ができる</t>
        </is>
      </c>
      <c r="B19" s="14" t="inlineStr">
        <is>
          <t>設定が適用日付つきで保存され、履歴が積まれる。同じ従業員コードが二重に登録されない</t>
        </is>
      </c>
      <c r="C19" s="14" t="inlineStr">
        <is>
          <t>データ保全：二重登録を防ぐ</t>
        </is>
      </c>
      <c r="D19" s="15" t="inlineStr">
        <is>
          <t>AC-40</t>
        </is>
      </c>
      <c r="E19" s="16" t="inlineStr">
        <is>
          <t>L1 MVP必須</t>
        </is>
      </c>
      <c r="F19" s="14" t="inlineStr">
        <is>
          <t>同じ従業員コードが二重に登録されない</t>
        </is>
      </c>
      <c r="G19" s="14" t="inlineStr">
        <is>
          <t>二重登録=0件（2回目は更新・件数増加なし）</t>
        </is>
      </c>
      <c r="H19" s="14" t="inlineStr">
        <is>
          <t>不可（人件費が二重計上されAC-11が壊れる）</t>
        </is>
      </c>
      <c r="I19" s="14" t="inlineStr">
        <is>
          <t>従業員コードに一意制約。取込はコードをキーにupsert。CSV内の重複行は事前に検出</t>
        </is>
      </c>
      <c r="J19" s="14" t="inlineStr">
        <is>
          <t>設定インポート／従業員一覧</t>
        </is>
      </c>
      <c r="K19" s="14" t="inlineStr">
        <is>
          <t>T-I17 R-01</t>
        </is>
      </c>
      <c r="L19" s="14" t="inlineStr">
        <is>
          <t>§第2部 フロー1・2 ／ 第5部 判断9</t>
        </is>
      </c>
      <c r="M19" s="14" t="inlineStr">
        <is>
          <t>T-I17.png</t>
        </is>
      </c>
      <c r="N19" s="17" t="inlineStr"/>
      <c r="O19" s="18" t="inlineStr"/>
      <c r="P19" s="17" t="inlineStr"/>
      <c r="Q19" s="17" t="inlineStr"/>
    </row>
    <row r="20">
      <c r="A20" s="14" t="inlineStr">
        <is>
          <t>M1 過去が動かない構造ができる</t>
        </is>
      </c>
      <c r="B20" s="14" t="inlineStr">
        <is>
          <t>設定が適用日付つきで保存され、履歴が積まれる。同じ従業員コードが二重に登録されない</t>
        </is>
      </c>
      <c r="C20" s="14" t="inlineStr">
        <is>
          <t>原則③：交通費も働いた店舗の実費で</t>
        </is>
      </c>
      <c r="D20" s="15" t="inlineStr">
        <is>
          <t>AC-47</t>
        </is>
      </c>
      <c r="E20" s="16" t="inlineStr">
        <is>
          <t>L1 MVP必須</t>
        </is>
      </c>
      <c r="F20" s="14" t="inlineStr">
        <is>
          <t>ヘルプ先ごとに別々の交通費を設定できる</t>
        </is>
      </c>
      <c r="G20" s="14" t="inlineStr">
        <is>
          <t>選んだ店舗数ぶんの入力欄が出る（EMP-001＝2件：S02=700・S03=900）。1つにまとめられない</t>
        </is>
      </c>
      <c r="H20" s="14" t="inlineStr">
        <is>
          <t>不可（AC-15の店舗別計上が成立せず、遠い店ほど持ち出しになる）</t>
        </is>
      </c>
      <c r="I20" s="14" t="inlineStr">
        <is>
          <t>従業員×ヘルプ先店舗×交通費 を多対多で保持する。従業員に1つの値だけを持たせる実装は不可</t>
        </is>
      </c>
      <c r="J20" s="14" t="inlineStr">
        <is>
          <t>従業員登録／従業員詳細</t>
        </is>
      </c>
      <c r="K20" s="14" t="inlineStr">
        <is>
          <t>T-R04 R-01</t>
        </is>
      </c>
      <c r="L20" s="14" t="inlineStr">
        <is>
          <t>§第1部 7 原則③ ／ 第5部 11-A 確定した算式</t>
        </is>
      </c>
      <c r="M20" s="14" t="inlineStr">
        <is>
          <t>T-R04.png</t>
        </is>
      </c>
      <c r="N20" s="17" t="inlineStr"/>
      <c r="O20" s="18" t="inlineStr"/>
      <c r="P20" s="17" t="inlineStr"/>
      <c r="Q20" s="17" t="inlineStr"/>
    </row>
    <row r="21">
      <c r="A21" s="14" t="inlineStr">
        <is>
          <t>M1 過去が動かない構造ができる</t>
        </is>
      </c>
      <c r="B21" s="14" t="inlineStr">
        <is>
          <t>設定が適用日付つきで保存され、履歴が積まれる。同じ従業員コードが二重に登録されない</t>
        </is>
      </c>
      <c r="C21" s="14" t="inlineStr">
        <is>
          <t>原則①：どの入口でも履歴が残る</t>
        </is>
      </c>
      <c r="D21" s="15" t="inlineStr">
        <is>
          <t>AC-49</t>
        </is>
      </c>
      <c r="E21" s="16" t="inlineStr">
        <is>
          <t>L1 MVP必須</t>
        </is>
      </c>
      <c r="F21" s="14" t="inlineStr">
        <is>
          <t>どの入口から設定を編集しても、適用日付と設定変更履歴が同じように記録されること</t>
        </is>
      </c>
      <c r="G21" s="14" t="inlineStr">
        <is>
          <t>モーダル経由・詳細経由のどちらでも履歴が1行増える（記録されない編集=0件）。変更ソースも記録される</t>
        </is>
      </c>
      <c r="H21" s="14" t="inlineStr">
        <is>
          <t>不可（片方だけ履歴が残らないと変更を追えない期間ができ、AC-07・AC-03に連鎖）</t>
        </is>
      </c>
      <c r="I21" s="14" t="inlineStr">
        <is>
          <t>設定更新の処理を1箇所に集約し、両方の画面から同じ処理を呼ぶ。画面ごとに別の更新処理を持たない</t>
        </is>
      </c>
      <c r="J21" s="14" t="inlineStr">
        <is>
          <t>人件費実績（設定編集モーダル）／従業員詳細</t>
        </is>
      </c>
      <c r="K21" s="14" t="inlineStr">
        <is>
          <t>T-A09 R-06</t>
        </is>
      </c>
      <c r="L21" s="14" t="inlineStr">
        <is>
          <t>§第1部 7 原則① ／ 第2部 フロー3・4</t>
        </is>
      </c>
      <c r="M21" s="14" t="inlineStr">
        <is>
          <t>T-A09.png</t>
        </is>
      </c>
      <c r="N21" s="17" t="inlineStr"/>
      <c r="O21" s="18" t="inlineStr"/>
      <c r="P21" s="17" t="inlineStr"/>
      <c r="Q21" s="17" t="inlineStr"/>
    </row>
    <row r="22">
      <c r="A22" s="14" t="inlineStr">
        <is>
          <t>M2 金額が算式どおりに出る</t>
        </is>
      </c>
      <c r="B22" s="14" t="inlineStr">
        <is>
          <t>確定した算式で人件費が計算され、店舗別の合計が全社と一致する</t>
        </is>
      </c>
      <c r="C22" s="14" t="inlineStr">
        <is>
          <t>原則③：人件費は働いた店舗に付ける</t>
        </is>
      </c>
      <c r="D22" s="15" t="inlineStr">
        <is>
          <t>AC-11</t>
        </is>
      </c>
      <c r="E22" s="19" t="inlineStr">
        <is>
          <t>L0 リリース不可</t>
        </is>
      </c>
      <c r="F22" s="14" t="inlineStr">
        <is>
          <t>店舗別の合計が全社の実績給与と一致する</t>
        </is>
      </c>
      <c r="G22" s="14" t="inlineStr">
        <is>
          <t>店舗5店の合計 − 全社 = 0円（1,461,312円）</t>
        </is>
      </c>
      <c r="H22" s="14" t="inlineStr">
        <is>
          <t>★中止（店舗別PLが使えない）</t>
        </is>
      </c>
      <c r="I22" s="14" t="inlineStr">
        <is>
          <t>ヘルプ人件費を「実績給与×ヘルプ時間÷総労働時間」で按分し、端数を所属店舗に寄せる（判断9）。加算のみの実装は不可</t>
        </is>
      </c>
      <c r="J22" s="14" t="inlineStr">
        <is>
          <t>人件費実績（月別・実績）</t>
        </is>
      </c>
      <c r="K22" s="14" t="inlineStr">
        <is>
          <t>S-02 C-005 R-04</t>
        </is>
      </c>
      <c r="L22" s="14" t="inlineStr">
        <is>
          <t>§第1部 7 原則③ ／ 第5部 11-A 確定した算式</t>
        </is>
      </c>
      <c r="M22" s="14" t="inlineStr">
        <is>
          <t>S-02.png</t>
        </is>
      </c>
      <c r="N22" s="17" t="inlineStr"/>
      <c r="O22" s="18" t="inlineStr"/>
      <c r="P22" s="17" t="inlineStr"/>
      <c r="Q22" s="17" t="inlineStr"/>
    </row>
    <row r="23">
      <c r="A23" s="14" t="inlineStr">
        <is>
          <t>M2 金額が算式どおりに出る</t>
        </is>
      </c>
      <c r="B23" s="14" t="inlineStr">
        <is>
          <t>確定した算式で人件費が計算され、店舗別の合計が全社と一致する</t>
        </is>
      </c>
      <c r="C23" s="14" t="inlineStr">
        <is>
          <t>原則①：予約が自動で効く</t>
        </is>
      </c>
      <c r="D23" s="15" t="inlineStr">
        <is>
          <t>AC-05</t>
        </is>
      </c>
      <c r="E23" s="16" t="inlineStr">
        <is>
          <t>L1 MVP必須</t>
        </is>
      </c>
      <c r="F23" s="14" t="inlineStr">
        <is>
          <t>適用日を迎えたら自動で切り替わる</t>
        </is>
      </c>
      <c r="G23" s="14" t="inlineStr">
        <is>
          <t>適用日00:00以降に新値・ステータスが「適用中」</t>
        </is>
      </c>
      <c r="H23" s="14" t="inlineStr">
        <is>
          <t>不可（毎日手作業になる）</t>
        </is>
      </c>
      <c r="I23" s="14" t="inlineStr">
        <is>
          <t>日次バッチまたは参照時解決のいずれかで、適用日到来を人手なしに反映する</t>
        </is>
      </c>
      <c r="J23" s="14" t="inlineStr">
        <is>
          <t>従業員一覧／設定履歴</t>
        </is>
      </c>
      <c r="K23" s="14" t="inlineStr">
        <is>
          <t>T-D05</t>
        </is>
      </c>
      <c r="L23" s="14" t="inlineStr">
        <is>
          <t>§第1部 7 原則① ／ 第2部 フロー3・4</t>
        </is>
      </c>
      <c r="M23" s="14" t="inlineStr">
        <is>
          <t>T-D05.png</t>
        </is>
      </c>
      <c r="N23" s="17" t="inlineStr"/>
      <c r="O23" s="18" t="inlineStr"/>
      <c r="P23" s="17" t="inlineStr"/>
      <c r="Q23" s="17" t="inlineStr"/>
    </row>
    <row r="24">
      <c r="A24" s="14" t="inlineStr">
        <is>
          <t>M2 金額が算式どおりに出る</t>
        </is>
      </c>
      <c r="B24" s="14" t="inlineStr">
        <is>
          <t>確定した算式で人件費が計算され、店舗別の合計が全社と一致する</t>
        </is>
      </c>
      <c r="C24" s="14" t="inlineStr">
        <is>
          <t>計算：算式どおりの金額</t>
        </is>
      </c>
      <c r="D24" s="15" t="inlineStr">
        <is>
          <t>AC-10</t>
        </is>
      </c>
      <c r="E24" s="16" t="inlineStr">
        <is>
          <t>L1 MVP必須</t>
        </is>
      </c>
      <c r="F24" s="14" t="inlineStr">
        <is>
          <t>実績給与が算式の計算値と一致する</t>
        </is>
      </c>
      <c r="G24" s="14" t="inlineStr">
        <is>
          <t>全行で差分=0円（EMP-001=338,000／EMP-002=285,250／EMP-003=144,000／EMP-005=382,812／EMP-007=311,250）</t>
        </is>
      </c>
      <c r="H24" s="14" t="inlineStr">
        <is>
          <t>不可（数字の根拠が説明できない）</t>
        </is>
      </c>
      <c r="I24" s="14" t="inlineStr">
        <is>
          <t>実績給与＝概算給与＋深夜残業代＋みなし超過残業代。交通費は含めない</t>
        </is>
      </c>
      <c r="J24" s="14" t="inlineStr">
        <is>
          <t>人件費実績（月別・実績）</t>
        </is>
      </c>
      <c r="K24" s="14" t="inlineStr">
        <is>
          <t>S-02 S-03 T-A02 T-A05 C-001 C-003 C-013</t>
        </is>
      </c>
      <c r="L24" s="14" t="inlineStr">
        <is>
          <t>§第5部 11-A 確定した算式</t>
        </is>
      </c>
      <c r="M24" s="14" t="inlineStr">
        <is>
          <t>S-02.png</t>
        </is>
      </c>
      <c r="N24" s="17" t="inlineStr"/>
      <c r="O24" s="18" t="inlineStr"/>
      <c r="P24" s="17" t="inlineStr"/>
      <c r="Q24" s="17" t="inlineStr"/>
    </row>
    <row r="25">
      <c r="A25" s="14" t="inlineStr">
        <is>
          <t>M2 金額が算式どおりに出る</t>
        </is>
      </c>
      <c r="B25" s="14" t="inlineStr">
        <is>
          <t>確定した算式で人件費が計算され、店舗別の合計が全社と一致する</t>
        </is>
      </c>
      <c r="C25" s="14" t="inlineStr">
        <is>
          <t>計算：月中改定の日割り</t>
        </is>
      </c>
      <c r="D25" s="15" t="inlineStr">
        <is>
          <t>AC-12</t>
        </is>
      </c>
      <c r="E25" s="16" t="inlineStr">
        <is>
          <t>L1 MVP必須</t>
        </is>
      </c>
      <c r="F25" s="14" t="inlineStr">
        <is>
          <t>所定労働日割で按分される</t>
        </is>
      </c>
      <c r="G25" s="14" t="inlineStr">
        <is>
          <t>332,727円（320,000×8/22＋340,000×14/22）</t>
        </is>
      </c>
      <c r="H25" s="14" t="inlineStr">
        <is>
          <t>不可（予約機能が実用にならない）</t>
        </is>
      </c>
      <c r="I25" s="14" t="inlineStr">
        <is>
          <t>判断1＝所定労働日割。分母は当月の所定労働日数。暦日割の実装は不可</t>
        </is>
      </c>
      <c r="J25" s="14" t="inlineStr">
        <is>
          <t>人件費実績（月別・概算）</t>
        </is>
      </c>
      <c r="K25" s="14" t="inlineStr">
        <is>
          <t>S-02 C-006</t>
        </is>
      </c>
      <c r="L25" s="14" t="inlineStr">
        <is>
          <t>§第5部 11-A 確定した算式</t>
        </is>
      </c>
      <c r="M25" s="14" t="inlineStr">
        <is>
          <t>S-02.png</t>
        </is>
      </c>
      <c r="N25" s="17" t="inlineStr"/>
      <c r="O25" s="18" t="inlineStr"/>
      <c r="P25" s="17" t="inlineStr"/>
      <c r="Q25" s="17" t="inlineStr"/>
    </row>
    <row r="26">
      <c r="A26" s="14" t="inlineStr">
        <is>
          <t>M2 金額が算式どおりに出る</t>
        </is>
      </c>
      <c r="B26" s="14" t="inlineStr">
        <is>
          <t>確定した算式で人件費が計算され、店舗別の合計が全社と一致する</t>
        </is>
      </c>
      <c r="C26" s="14" t="inlineStr">
        <is>
          <t>計算：時給者</t>
        </is>
      </c>
      <c r="D26" s="15" t="inlineStr">
        <is>
          <t>AC-13</t>
        </is>
      </c>
      <c r="E26" s="16" t="inlineStr">
        <is>
          <t>L1 MVP必須</t>
        </is>
      </c>
      <c r="F26" s="14" t="inlineStr">
        <is>
          <t>単価×所定労働時間になる</t>
        </is>
      </c>
      <c r="G26" s="14" t="inlineStr">
        <is>
          <t>144,000円（差分0）</t>
        </is>
      </c>
      <c r="H26" s="14" t="inlineStr">
        <is>
          <t>不可（概算が使えない）</t>
        </is>
      </c>
      <c r="I26" s="14" t="inlineStr">
        <is>
          <t>時給者は日割り按分ではなく、各勤務日の有効単価で積む</t>
        </is>
      </c>
      <c r="J26" s="14" t="inlineStr">
        <is>
          <t>人件費実績（月別・概算）</t>
        </is>
      </c>
      <c r="K26" s="14" t="inlineStr">
        <is>
          <t>C-011</t>
        </is>
      </c>
      <c r="L26" s="14" t="inlineStr">
        <is>
          <t>§第5部 11-A 確定した算式</t>
        </is>
      </c>
      <c r="M26" s="14" t="inlineStr">
        <is>
          <t>C-011.png</t>
        </is>
      </c>
      <c r="N26" s="17" t="inlineStr"/>
      <c r="O26" s="18" t="inlineStr"/>
      <c r="P26" s="17" t="inlineStr"/>
      <c r="Q26" s="17" t="inlineStr"/>
    </row>
    <row r="27">
      <c r="A27" s="14" t="inlineStr">
        <is>
          <t>M2 金額が算式どおりに出る</t>
        </is>
      </c>
      <c r="B27" s="14" t="inlineStr">
        <is>
          <t>確定した算式で人件費が計算され、店舗別の合計が全社と一致する</t>
        </is>
      </c>
      <c r="C27" s="14" t="inlineStr">
        <is>
          <t>原則③：ヘルプ人件費</t>
        </is>
      </c>
      <c r="D27" s="15" t="inlineStr">
        <is>
          <t>AC-14</t>
        </is>
      </c>
      <c r="E27" s="16" t="inlineStr">
        <is>
          <t>L1 MVP必須</t>
        </is>
      </c>
      <c r="F27" s="14" t="inlineStr">
        <is>
          <t>働いた店舗・その日の有効単価で計算される</t>
        </is>
      </c>
      <c r="G27" s="14" t="inlineStr">
        <is>
          <t>按分額が実績給与×ヘルプ時間÷総労働時間と一致</t>
        </is>
      </c>
      <c r="H27" s="14" t="inlineStr">
        <is>
          <t>不可（店舗別PLが実態とずれる）</t>
        </is>
      </c>
      <c r="I27" s="14" t="inlineStr">
        <is>
          <t>日別の勤務店舗を保持し、店舗別集計時に振り替える</t>
        </is>
      </c>
      <c r="J27" s="14" t="inlineStr">
        <is>
          <t>人件費実績（日別）／月別</t>
        </is>
      </c>
      <c r="K27" s="14" t="inlineStr">
        <is>
          <t>C-003 C-013</t>
        </is>
      </c>
      <c r="L27" s="14" t="inlineStr">
        <is>
          <t>§第1部 7 原則③ ／ 第5部 11-A 確定した算式</t>
        </is>
      </c>
      <c r="M27" s="14" t="inlineStr">
        <is>
          <t>C-003.png</t>
        </is>
      </c>
      <c r="N27" s="17" t="inlineStr"/>
      <c r="O27" s="18" t="inlineStr"/>
      <c r="P27" s="17" t="inlineStr"/>
      <c r="Q27" s="17" t="inlineStr"/>
    </row>
    <row r="28">
      <c r="A28" s="14" t="inlineStr">
        <is>
          <t>M2 金額が算式どおりに出る</t>
        </is>
      </c>
      <c r="B28" s="14" t="inlineStr">
        <is>
          <t>確定した算式で人件費が計算され、店舗別の合計が全社と一致する</t>
        </is>
      </c>
      <c r="C28" s="14" t="inlineStr">
        <is>
          <t>原則③：交通費の帰属</t>
        </is>
      </c>
      <c r="D28" s="15" t="inlineStr">
        <is>
          <t>AC-15</t>
        </is>
      </c>
      <c r="E28" s="16" t="inlineStr">
        <is>
          <t>L1 MVP必須</t>
        </is>
      </c>
      <c r="F28" s="14" t="inlineStr">
        <is>
          <t>交通費が独立費目として一意に計上される</t>
        </is>
      </c>
      <c r="G28" s="14" t="inlineStr">
        <is>
          <t>実績給与に交通費を含まない／通勤は所属店舗・ヘルプ先は応援先に計上（店舗別合計100,000円）</t>
        </is>
      </c>
      <c r="H28" s="14" t="inlineStr">
        <is>
          <t>不可（人件費の総額がずれる）</t>
        </is>
      </c>
      <c r="I28" s="14" t="inlineStr">
        <is>
          <t>判断6＝独立列。給与とは別カラムで持ち、総支給額＝給与＋交通費で表示</t>
        </is>
      </c>
      <c r="J28" s="14" t="inlineStr">
        <is>
          <t>人件費実績（月別・日別）</t>
        </is>
      </c>
      <c r="K28" s="14" t="inlineStr">
        <is>
          <t>S-02 T-R04 C-017</t>
        </is>
      </c>
      <c r="L28" s="14" t="inlineStr">
        <is>
          <t>§第1部 7 原則③ ／ 第5部 11-A 確定した算式</t>
        </is>
      </c>
      <c r="M28" s="14" t="inlineStr">
        <is>
          <t>S-02.png</t>
        </is>
      </c>
      <c r="N28" s="17" t="inlineStr"/>
      <c r="O28" s="18" t="inlineStr"/>
      <c r="P28" s="17" t="inlineStr"/>
      <c r="Q28" s="17" t="inlineStr"/>
    </row>
    <row r="29">
      <c r="A29" s="14" t="inlineStr">
        <is>
          <t>M2 金額が算式どおりに出る</t>
        </is>
      </c>
      <c r="B29" s="14" t="inlineStr">
        <is>
          <t>確定した算式で人件費が計算され、店舗別の合計が全社と一致する</t>
        </is>
      </c>
      <c r="C29" s="14" t="inlineStr">
        <is>
          <t>入出力：勤怠実績を取り込める</t>
        </is>
      </c>
      <c r="D29" s="15" t="inlineStr">
        <is>
          <t>AC-48</t>
        </is>
      </c>
      <c r="E29" s="16" t="inlineStr">
        <is>
          <t>L1 MVP必須</t>
        </is>
      </c>
      <c r="F29" s="14" t="inlineStr">
        <is>
          <t>「実績データ取込」で勤怠実績が取り込まれ、人件費実績に反映されること</t>
        </is>
      </c>
      <c r="G29" s="14" t="inlineStr">
        <is>
          <t>取込後に実績モードの金額が表示される（未反映=0件）。取込中は画面を操作できない</t>
        </is>
      </c>
      <c r="H29" s="14" t="inlineStr">
        <is>
          <t>不可（実績の数字が出ず、締めも意味を持たない）</t>
        </is>
      </c>
      <c r="I29" s="14" t="inlineStr">
        <is>
          <t>取込処理を非同期で実行し、進捗を返す。処理中は締めなど後続の操作を受け付けない</t>
        </is>
      </c>
      <c r="J29" s="14" t="inlineStr">
        <is>
          <t>人件費実績</t>
        </is>
      </c>
      <c r="K29" s="14" t="inlineStr">
        <is>
          <t>T-A08</t>
        </is>
      </c>
      <c r="L29" s="14" t="inlineStr">
        <is>
          <t>§第2部 フロー1・8・9・10</t>
        </is>
      </c>
      <c r="M29" s="14" t="inlineStr">
        <is>
          <t>T-A08.png</t>
        </is>
      </c>
      <c r="N29" s="17" t="inlineStr"/>
      <c r="O29" s="18" t="inlineStr"/>
      <c r="P29" s="17" t="inlineStr"/>
      <c r="Q29" s="17" t="inlineStr"/>
    </row>
    <row r="30">
      <c r="A30" s="14" t="inlineStr">
        <is>
          <t>M3 月次を確定して外部へ渡せる</t>
        </is>
      </c>
      <c r="B30" s="14" t="inlineStr">
        <is>
          <t>締めた月は動かず、解除すれば再計算される。締めは会社スコープのみ</t>
        </is>
      </c>
      <c r="C30" s="14" t="inlineStr">
        <is>
          <t>原則②：締めたら動かない</t>
        </is>
      </c>
      <c r="D30" s="15" t="inlineStr">
        <is>
          <t>AC-16</t>
        </is>
      </c>
      <c r="E30" s="19" t="inlineStr">
        <is>
          <t>L0 リリース不可</t>
        </is>
      </c>
      <c r="F30" s="14" t="inlineStr">
        <is>
          <t>締め済みの月の数字が動かない</t>
        </is>
      </c>
      <c r="G30" s="14" t="inlineStr">
        <is>
          <t>当月の実績給与・総労働時間の差分=0円</t>
        </is>
      </c>
      <c r="H30" s="14" t="inlineStr">
        <is>
          <t>★中止（締めの意味が消える）</t>
        </is>
      </c>
      <c r="I30" s="14" t="inlineStr">
        <is>
          <t>締めフラグを持ち、締め済み期間は再計算をスキップする（設定変更・勤怠取込の両方）。スナップショットで固定</t>
        </is>
      </c>
      <c r="J30" s="14" t="inlineStr">
        <is>
          <t>人件費実績（月別）</t>
        </is>
      </c>
      <c r="K30" s="14" t="inlineStr">
        <is>
          <t>T-S03 T-S04 C-008 R-02</t>
        </is>
      </c>
      <c r="L30" s="14" t="inlineStr">
        <is>
          <t>§第1部 7 原則② ／ 第2部 フロー6・7</t>
        </is>
      </c>
      <c r="M30" s="14" t="inlineStr">
        <is>
          <t>T-S03.png</t>
        </is>
      </c>
      <c r="N30" s="17" t="inlineStr"/>
      <c r="O30" s="18" t="inlineStr"/>
      <c r="P30" s="17" t="inlineStr"/>
      <c r="Q30" s="17" t="inlineStr"/>
    </row>
    <row r="31">
      <c r="A31" s="14" t="inlineStr">
        <is>
          <t>M3 月次を確定して外部へ渡せる</t>
        </is>
      </c>
      <c r="B31" s="14" t="inlineStr">
        <is>
          <t>締めた月は動かず、解除すれば再計算される。締めは会社スコープのみ</t>
        </is>
      </c>
      <c r="C31" s="14" t="inlineStr">
        <is>
          <t>原則②：解除で再計算</t>
        </is>
      </c>
      <c r="D31" s="15" t="inlineStr">
        <is>
          <t>AC-17</t>
        </is>
      </c>
      <c r="E31" s="16" t="inlineStr">
        <is>
          <t>L1 MVP必須</t>
        </is>
      </c>
      <c r="F31" s="14" t="inlineStr">
        <is>
          <t>保留されていた変更が反映されて再計算される</t>
        </is>
      </c>
      <c r="G31" s="14" t="inlineStr">
        <is>
          <t>解除後の実績給与＝改定を反映した計算値（差分0円）</t>
        </is>
      </c>
      <c r="H31" s="14" t="inlineStr">
        <is>
          <t>不可（誤りを修正できない）</t>
        </is>
      </c>
      <c r="I31" s="14" t="inlineStr">
        <is>
          <t>解除で締めフラグを落とし、再計算をキューに入れる</t>
        </is>
      </c>
      <c r="J31" s="14" t="inlineStr">
        <is>
          <t>人件費実績（月別）</t>
        </is>
      </c>
      <c r="K31" s="14" t="inlineStr">
        <is>
          <t>T-S05</t>
        </is>
      </c>
      <c r="L31" s="14" t="inlineStr">
        <is>
          <t>§第1部 7 原則② ／ 第2部 フロー6・7</t>
        </is>
      </c>
      <c r="M31" s="14" t="inlineStr">
        <is>
          <t>T-S05.png</t>
        </is>
      </c>
      <c r="N31" s="17" t="inlineStr"/>
      <c r="O31" s="18" t="inlineStr"/>
      <c r="P31" s="17" t="inlineStr"/>
      <c r="Q31" s="17" t="inlineStr"/>
    </row>
    <row r="32">
      <c r="A32" s="14" t="inlineStr">
        <is>
          <t>M3 月次を確定して外部へ渡せる</t>
        </is>
      </c>
      <c r="B32" s="14" t="inlineStr">
        <is>
          <t>締めた月は動かず、解除すれば再計算される。締めは会社スコープのみ</t>
        </is>
      </c>
      <c r="C32" s="14" t="inlineStr">
        <is>
          <t>原則②：締めの単位は月</t>
        </is>
      </c>
      <c r="D32" s="15" t="inlineStr">
        <is>
          <t>AC-18</t>
        </is>
      </c>
      <c r="E32" s="16" t="inlineStr">
        <is>
          <t>L1 MVP必須</t>
        </is>
      </c>
      <c r="F32" s="14" t="inlineStr">
        <is>
          <t>締めは月別タブにのみ表示される</t>
        </is>
      </c>
      <c r="G32" s="14" t="inlineStr">
        <is>
          <t>日別タブでの表示=0</t>
        </is>
      </c>
      <c r="H32" s="14" t="inlineStr">
        <is>
          <t>条件付きGo可（誤解を招くが実害は小さい）</t>
        </is>
      </c>
      <c r="I32" s="14" t="inlineStr">
        <is>
          <t>日別タブに締めUIを置かない</t>
        </is>
      </c>
      <c r="J32" s="14" t="inlineStr">
        <is>
          <t>人件費実績</t>
        </is>
      </c>
      <c r="K32" s="14" t="inlineStr">
        <is>
          <t>T-S01</t>
        </is>
      </c>
      <c r="L32" s="14" t="inlineStr">
        <is>
          <t>§第1部 7 原則② ／ 第2部 フロー6・7</t>
        </is>
      </c>
      <c r="M32" s="14" t="inlineStr">
        <is>
          <t>T-S01.png</t>
        </is>
      </c>
      <c r="N32" s="17" t="inlineStr"/>
      <c r="O32" s="18" t="inlineStr"/>
      <c r="P32" s="17" t="inlineStr"/>
      <c r="Q32" s="17" t="inlineStr"/>
    </row>
    <row r="33">
      <c r="A33" s="14" t="inlineStr">
        <is>
          <t>M3 月次を確定して外部へ渡せる</t>
        </is>
      </c>
      <c r="B33" s="14" t="inlineStr">
        <is>
          <t>締めた月は動かず、解除すれば再計算される。締めは会社スコープのみ</t>
        </is>
      </c>
      <c r="C33" s="14" t="inlineStr">
        <is>
          <t>原則②：確定操作は確認を経る</t>
        </is>
      </c>
      <c r="D33" s="15" t="inlineStr">
        <is>
          <t>AC-19</t>
        </is>
      </c>
      <c r="E33" s="16" t="inlineStr">
        <is>
          <t>L1 MVP必須</t>
        </is>
      </c>
      <c r="F33" s="14" t="inlineStr">
        <is>
          <t>実行前に確認が入る</t>
        </is>
      </c>
      <c r="G33" s="14" t="inlineStr">
        <is>
          <t>確認モーダル=各1回</t>
        </is>
      </c>
      <c r="H33" s="14" t="inlineStr">
        <is>
          <t>条件付きGo可（誤操作リスクは残る）</t>
        </is>
      </c>
      <c r="I33" s="14" t="inlineStr">
        <is>
          <t>締め・解除ともに確認を挟む</t>
        </is>
      </c>
      <c r="J33" s="14" t="inlineStr">
        <is>
          <t>人件費実績（月別）</t>
        </is>
      </c>
      <c r="K33" s="14" t="inlineStr">
        <is>
          <t>T-S03 T-S05</t>
        </is>
      </c>
      <c r="L33" s="14" t="inlineStr">
        <is>
          <t>§第1部 7 原則② ／ 第2部 フロー6・7</t>
        </is>
      </c>
      <c r="M33" s="14" t="inlineStr">
        <is>
          <t>T-S03.png</t>
        </is>
      </c>
      <c r="N33" s="17" t="inlineStr"/>
      <c r="O33" s="18" t="inlineStr"/>
      <c r="P33" s="17" t="inlineStr"/>
      <c r="Q33" s="17" t="inlineStr"/>
    </row>
    <row r="34">
      <c r="A34" s="14" t="inlineStr">
        <is>
          <t>M3 月次を確定して外部へ渡せる</t>
        </is>
      </c>
      <c r="B34" s="14" t="inlineStr">
        <is>
          <t>締めた月は動かず、解除すれば再計算される。締めは会社スコープのみ</t>
        </is>
      </c>
      <c r="C34" s="14" t="inlineStr">
        <is>
          <t>原則②：遡及は黙って捨てない</t>
        </is>
      </c>
      <c r="D34" s="15" t="inlineStr">
        <is>
          <t>AC-20</t>
        </is>
      </c>
      <c r="E34" s="16" t="inlineStr">
        <is>
          <t>L1 MVP必須</t>
        </is>
      </c>
      <c r="F34" s="14" t="inlineStr">
        <is>
          <t>警告が出て、黙って無視されない</t>
        </is>
      </c>
      <c r="G34" s="14" t="inlineStr">
        <is>
          <t>警告なしの保存=0件</t>
        </is>
      </c>
      <c r="H34" s="14" t="inlineStr">
        <is>
          <t>不可（支払額と乖離する）</t>
        </is>
      </c>
      <c r="I34" s="14" t="inlineStr">
        <is>
          <t>締め済み期間への適用を検出して警告。既定は将来適用へ寄せる</t>
        </is>
      </c>
      <c r="J34" s="14" t="inlineStr">
        <is>
          <t>従業員詳細</t>
        </is>
      </c>
      <c r="K34" s="14" t="inlineStr">
        <is>
          <t>T-D07</t>
        </is>
      </c>
      <c r="L34" s="14" t="inlineStr">
        <is>
          <t>§第1部 7 原則② ／ 第2部 フロー6・7</t>
        </is>
      </c>
      <c r="M34" s="14" t="inlineStr">
        <is>
          <t>T-D07.png</t>
        </is>
      </c>
      <c r="N34" s="17" t="inlineStr"/>
      <c r="O34" s="18" t="inlineStr"/>
      <c r="P34" s="17" t="inlineStr"/>
      <c r="Q34" s="17" t="inlineStr"/>
    </row>
    <row r="35">
      <c r="A35" s="14" t="inlineStr">
        <is>
          <t>M3 月次を確定して外部へ渡せる</t>
        </is>
      </c>
      <c r="B35" s="14" t="inlineStr">
        <is>
          <t>締めた月は動かず、解除すれば再計算される。締めは会社スコープのみ</t>
        </is>
      </c>
      <c r="C35" s="14" t="inlineStr">
        <is>
          <t>原則②：締めは会社スコープのみ</t>
        </is>
      </c>
      <c r="D35" s="15" t="inlineStr">
        <is>
          <t>AC-41</t>
        </is>
      </c>
      <c r="E35" s="16" t="inlineStr">
        <is>
          <t>L1 MVP必須</t>
        </is>
      </c>
      <c r="F35" s="14" t="inlineStr">
        <is>
          <t>店長は締めを実行できない</t>
        </is>
      </c>
      <c r="G35" s="14" t="inlineStr">
        <is>
          <t>店長での締め実行=0件（ボタン非表示または拒否）</t>
        </is>
      </c>
      <c r="H35" s="14" t="inlineStr">
        <is>
          <t>不可（月次が店舗ごとに分断される）</t>
        </is>
      </c>
      <c r="I35" s="14" t="inlineStr">
        <is>
          <t>締めAPIを会社スコープ権限で制限。画面側だけで隠さない</t>
        </is>
      </c>
      <c r="J35" s="14" t="inlineStr">
        <is>
          <t>人件費実績（月別）</t>
        </is>
      </c>
      <c r="K35" s="14" t="inlineStr">
        <is>
          <t>T-S07 R-02</t>
        </is>
      </c>
      <c r="L35" s="14" t="inlineStr">
        <is>
          <t>§第1部 7 原則② ／ 第2部 フロー6・7</t>
        </is>
      </c>
      <c r="M35" s="14" t="inlineStr">
        <is>
          <t>T-S07.png</t>
        </is>
      </c>
      <c r="N35" s="17" t="inlineStr"/>
      <c r="O35" s="18" t="inlineStr"/>
      <c r="P35" s="17" t="inlineStr"/>
      <c r="Q35" s="17" t="inlineStr"/>
    </row>
    <row r="36">
      <c r="A36" s="14" t="inlineStr">
        <is>
          <t>M4 顧客とCSが自分で運用できる</t>
        </is>
      </c>
      <c r="B36" s="14" t="inlineStr">
        <is>
          <t>CSVで取り込め、必要な項目だけ出力でき、原因を追える</t>
        </is>
      </c>
      <c r="C36" s="14" t="inlineStr">
        <is>
          <t>入出力：導入を止めない</t>
        </is>
      </c>
      <c r="D36" s="15" t="inlineStr">
        <is>
          <t>AC-21</t>
        </is>
      </c>
      <c r="E36" s="16" t="inlineStr">
        <is>
          <t>L1 MVP必須</t>
        </is>
      </c>
      <c r="F36" s="14" t="inlineStr">
        <is>
          <t>KOT形式のCSVが全行取り込める</t>
        </is>
      </c>
      <c r="G36" s="14" t="inlineStr">
        <is>
          <t>取込成功=3行</t>
        </is>
      </c>
      <c r="H36" s="14" t="inlineStr">
        <is>
          <t>不可（導入時に手入力になる）</t>
        </is>
      </c>
      <c r="I36" s="14" t="inlineStr">
        <is>
          <t>ヘッダー名で列を解決。テンプレートDLの列と一致させる</t>
        </is>
      </c>
      <c r="J36" s="14" t="inlineStr">
        <is>
          <t>設定インポート</t>
        </is>
      </c>
      <c r="K36" s="14" t="inlineStr">
        <is>
          <t>T-I02 T-I03</t>
        </is>
      </c>
      <c r="L36" s="14" t="inlineStr">
        <is>
          <t>§第2部 フロー1・8・9・10</t>
        </is>
      </c>
      <c r="M36" s="14" t="inlineStr">
        <is>
          <t>T-I02.png</t>
        </is>
      </c>
      <c r="N36" s="17" t="inlineStr"/>
      <c r="O36" s="18" t="inlineStr"/>
      <c r="P36" s="17" t="inlineStr"/>
      <c r="Q36" s="17" t="inlineStr"/>
    </row>
    <row r="37">
      <c r="A37" s="14" t="inlineStr">
        <is>
          <t>M4 顧客とCSが自分で運用できる</t>
        </is>
      </c>
      <c r="B37" s="14" t="inlineStr">
        <is>
          <t>CSVで取り込め、必要な項目だけ出力でき、原因を追える</t>
        </is>
      </c>
      <c r="C37" s="14" t="inlineStr">
        <is>
          <t>入出力：表記ゆれを吸収</t>
        </is>
      </c>
      <c r="D37" s="15" t="inlineStr">
        <is>
          <t>AC-22</t>
        </is>
      </c>
      <c r="E37" s="16" t="inlineStr">
        <is>
          <t>L1 MVP必須</t>
        </is>
      </c>
      <c r="F37" s="14" t="inlineStr">
        <is>
          <t>表記ゆれのヘッダーでも取り込める</t>
        </is>
      </c>
      <c r="G37" s="14" t="inlineStr">
        <is>
          <t>取込成功=3行</t>
        </is>
      </c>
      <c r="H37" s="14" t="inlineStr">
        <is>
          <t>不可（ジョブカン顧客の導入が止まる）</t>
        </is>
      </c>
      <c r="I37" s="14" t="inlineStr">
        <is>
          <t>列マッピングで吸収する（コードに列名を埋め込まない）</t>
        </is>
      </c>
      <c r="J37" s="14" t="inlineStr">
        <is>
          <t>設定インポート</t>
        </is>
      </c>
      <c r="K37" s="14" t="inlineStr">
        <is>
          <t>T-I04 R-05</t>
        </is>
      </c>
      <c r="L37" s="14" t="inlineStr">
        <is>
          <t>§第2部 フロー1・8・9・10</t>
        </is>
      </c>
      <c r="M37" s="14" t="inlineStr">
        <is>
          <t>T-I04.png</t>
        </is>
      </c>
      <c r="N37" s="17" t="inlineStr"/>
      <c r="O37" s="18" t="inlineStr"/>
      <c r="P37" s="17" t="inlineStr"/>
      <c r="Q37" s="17" t="inlineStr"/>
    </row>
    <row r="38">
      <c r="A38" s="14" t="inlineStr">
        <is>
          <t>M4 顧客とCSが自分で運用できる</t>
        </is>
      </c>
      <c r="B38" s="14" t="inlineStr">
        <is>
          <t>CSVで取り込め、必要な項目だけ出力でき、原因を追える</t>
        </is>
      </c>
      <c r="C38" s="14" t="inlineStr">
        <is>
          <t>データ保全：不正値を入れない</t>
        </is>
      </c>
      <c r="D38" s="15" t="inlineStr">
        <is>
          <t>AC-23</t>
        </is>
      </c>
      <c r="E38" s="16" t="inlineStr">
        <is>
          <t>L1 MVP必須</t>
        </is>
      </c>
      <c r="F38" s="14" t="inlineStr">
        <is>
          <t>異常が検出され、不正な値が登録されない</t>
        </is>
      </c>
      <c r="G38" s="14" t="inlineStr">
        <is>
          <t>4行すべて検出（見逃し=0）</t>
        </is>
      </c>
      <c r="H38" s="14" t="inlineStr">
        <is>
          <t>不可（マスタが壊れ人件費が狂う）</t>
        </is>
      </c>
      <c r="I38" s="14" t="inlineStr">
        <is>
          <t>コード欠落／負値／未登録店舗／型不正／未定義の雇用区分をサーバ側で検証</t>
        </is>
      </c>
      <c r="J38" s="14" t="inlineStr">
        <is>
          <t>設定インポート</t>
        </is>
      </c>
      <c r="K38" s="14" t="inlineStr">
        <is>
          <t>T-I05 R-03</t>
        </is>
      </c>
      <c r="L38" s="14" t="inlineStr">
        <is>
          <t>§第2部 フロー1・2 ／ 第5部 判断9</t>
        </is>
      </c>
      <c r="M38" s="14" t="inlineStr">
        <is>
          <t>T-I05.png</t>
        </is>
      </c>
      <c r="N38" s="17" t="inlineStr"/>
      <c r="O38" s="18" t="inlineStr"/>
      <c r="P38" s="17" t="inlineStr"/>
      <c r="Q38" s="17" t="inlineStr"/>
    </row>
    <row r="39">
      <c r="A39" s="14" t="inlineStr">
        <is>
          <t>M4 顧客とCSが自分で運用できる</t>
        </is>
      </c>
      <c r="B39" s="14" t="inlineStr">
        <is>
          <t>CSVで取り込め、必要な項目だけ出力でき、原因を追える</t>
        </is>
      </c>
      <c r="C39" s="14" t="inlineStr">
        <is>
          <t>入出力：CSが自走できる</t>
        </is>
      </c>
      <c r="D39" s="15" t="inlineStr">
        <is>
          <t>AC-24</t>
        </is>
      </c>
      <c r="E39" s="16" t="inlineStr">
        <is>
          <t>L1 MVP必須</t>
        </is>
      </c>
      <c r="F39" s="14" t="inlineStr">
        <is>
          <t>保存して再利用できる</t>
        </is>
      </c>
      <c r="G39" s="14" t="inlineStr">
        <is>
          <t>保存済みテンプレート選択時の手入力=0項目。「全解除」で取込チェックが一括で外れる</t>
        </is>
      </c>
      <c r="H39" s="14" t="inlineStr">
        <is>
          <t>条件付きGo可（都度マッピングで代替）</t>
        </is>
      </c>
      <c r="I39" s="14" t="inlineStr">
        <is>
          <t>マッピングを保存・適用できる。開発なしで新形式に対応できる</t>
        </is>
      </c>
      <c r="J39" s="14" t="inlineStr">
        <is>
          <t>列マッピングテンプレート</t>
        </is>
      </c>
      <c r="K39" s="14" t="inlineStr">
        <is>
          <t>T-I09 R-05</t>
        </is>
      </c>
      <c r="L39" s="14" t="inlineStr">
        <is>
          <t>§第2部 フロー1・8・9・10</t>
        </is>
      </c>
      <c r="M39" s="14" t="inlineStr">
        <is>
          <t>T-I09.png</t>
        </is>
      </c>
      <c r="N39" s="17" t="inlineStr"/>
      <c r="O39" s="18" t="inlineStr"/>
      <c r="P39" s="17" t="inlineStr"/>
      <c r="Q39" s="17" t="inlineStr"/>
    </row>
    <row r="40">
      <c r="A40" s="14" t="inlineStr">
        <is>
          <t>M4 顧客とCSが自分で運用できる</t>
        </is>
      </c>
      <c r="B40" s="14" t="inlineStr">
        <is>
          <t>CSVで取り込め、必要な項目だけ出力でき、原因を追える</t>
        </is>
      </c>
      <c r="C40" s="14" t="inlineStr">
        <is>
          <t>入出力：渡し先に合わせて出せる</t>
        </is>
      </c>
      <c r="D40" s="15" t="inlineStr">
        <is>
          <t>AC-25</t>
        </is>
      </c>
      <c r="E40" s="16" t="inlineStr">
        <is>
          <t>L1 MVP必須</t>
        </is>
      </c>
      <c r="F40" s="14" t="inlineStr">
        <is>
          <t>選んだ項目だけが出力される</t>
        </is>
      </c>
      <c r="G40" s="14" t="inlineStr">
        <is>
          <t>出力の列＝チェックした項目（過不足=0列）</t>
        </is>
      </c>
      <c r="H40" s="14" t="inlineStr">
        <is>
          <t>不可（不要な給与情報が渡し先に漏れる）</t>
        </is>
      </c>
      <c r="I40" s="14" t="inlineStr">
        <is>
          <t>選択した列のみを生成する（固定フォーマットにしない）</t>
        </is>
      </c>
      <c r="J40" s="14" t="inlineStr">
        <is>
          <t>設定・実績エクスポート</t>
        </is>
      </c>
      <c r="K40" s="14" t="inlineStr">
        <is>
          <t>T-E04 T-E09</t>
        </is>
      </c>
      <c r="L40" s="14" t="inlineStr">
        <is>
          <t>§第2部 フロー1・8・9・10</t>
        </is>
      </c>
      <c r="M40" s="14" t="inlineStr">
        <is>
          <t>T-E04.png</t>
        </is>
      </c>
      <c r="N40" s="17" t="inlineStr"/>
      <c r="O40" s="18" t="inlineStr"/>
      <c r="P40" s="17" t="inlineStr"/>
      <c r="Q40" s="17" t="inlineStr"/>
    </row>
    <row r="41">
      <c r="A41" s="14" t="inlineStr">
        <is>
          <t>M4 顧客とCSが自分で運用できる</t>
        </is>
      </c>
      <c r="B41" s="14" t="inlineStr">
        <is>
          <t>CSVで取り込め、必要な項目だけ出力でき、原因を追える</t>
        </is>
      </c>
      <c r="C41" s="14" t="inlineStr">
        <is>
          <t>入出力：対象ごとに分ける</t>
        </is>
      </c>
      <c r="D41" s="15" t="inlineStr">
        <is>
          <t>AC-26</t>
        </is>
      </c>
      <c r="E41" s="16" t="inlineStr">
        <is>
          <t>L1 MVP必須</t>
        </is>
      </c>
      <c r="F41" s="14" t="inlineStr">
        <is>
          <t>対象ごとにファイルが分かれる</t>
        </is>
      </c>
      <c r="G41" s="14" t="inlineStr">
        <is>
          <t>ファイル数=2</t>
        </is>
      </c>
      <c r="H41" s="14" t="inlineStr">
        <is>
          <t>条件付きGo可（手作業で分割）</t>
        </is>
      </c>
      <c r="I41" s="14" t="inlineStr">
        <is>
          <t>対象ごとにファイルを生成する</t>
        </is>
      </c>
      <c r="J41" s="14" t="inlineStr">
        <is>
          <t>設定・実績エクスポート</t>
        </is>
      </c>
      <c r="K41" s="14" t="inlineStr">
        <is>
          <t>T-E04</t>
        </is>
      </c>
      <c r="L41" s="14" t="inlineStr">
        <is>
          <t>§第2部 フロー1・8・9・10</t>
        </is>
      </c>
      <c r="M41" s="14" t="inlineStr">
        <is>
          <t>T-E04.png</t>
        </is>
      </c>
      <c r="N41" s="17" t="inlineStr"/>
      <c r="O41" s="18" t="inlineStr"/>
      <c r="P41" s="17" t="inlineStr"/>
      <c r="Q41" s="17" t="inlineStr"/>
    </row>
    <row r="42">
      <c r="A42" s="14" t="inlineStr">
        <is>
          <t>M4 顧客とCSが自分で運用できる</t>
        </is>
      </c>
      <c r="B42" s="14" t="inlineStr">
        <is>
          <t>CSVで取り込め、必要な項目だけ出力でき、原因を追える</t>
        </is>
      </c>
      <c r="C42" s="14" t="inlineStr">
        <is>
          <t>入出力：空振りを防ぐ</t>
        </is>
      </c>
      <c r="D42" s="15" t="inlineStr">
        <is>
          <t>AC-27</t>
        </is>
      </c>
      <c r="E42" s="16" t="inlineStr">
        <is>
          <t>L1 MVP必須</t>
        </is>
      </c>
      <c r="F42" s="14" t="inlineStr">
        <is>
          <t>出力されず警告が出る</t>
        </is>
      </c>
      <c r="G42" s="14" t="inlineStr">
        <is>
          <t>未選択での出力=0件</t>
        </is>
      </c>
      <c r="H42" s="14" t="inlineStr">
        <is>
          <t>条件付きGo可</t>
        </is>
      </c>
      <c r="I42" s="14" t="inlineStr">
        <is>
          <t>出力前に選択状態を検証する</t>
        </is>
      </c>
      <c r="J42" s="14" t="inlineStr">
        <is>
          <t>設定・実績エクスポート</t>
        </is>
      </c>
      <c r="K42" s="14" t="inlineStr">
        <is>
          <t>T-E07</t>
        </is>
      </c>
      <c r="L42" s="14" t="inlineStr">
        <is>
          <t>§第2部 フロー1・8・9・10</t>
        </is>
      </c>
      <c r="M42" s="14" t="inlineStr">
        <is>
          <t>T-E07.png</t>
        </is>
      </c>
      <c r="N42" s="17" t="inlineStr"/>
      <c r="O42" s="18" t="inlineStr"/>
      <c r="P42" s="17" t="inlineStr"/>
      <c r="Q42" s="17" t="inlineStr"/>
    </row>
    <row r="43">
      <c r="A43" s="14" t="inlineStr">
        <is>
          <t>M4 顧客とCSが自分で運用できる</t>
        </is>
      </c>
      <c r="B43" s="14" t="inlineStr">
        <is>
          <t>CSVで取り込め、必要な項目だけ出力でき、原因を追える</t>
        </is>
      </c>
      <c r="C43" s="14" t="inlineStr">
        <is>
          <t>入出力：そのまま提出できる</t>
        </is>
      </c>
      <c r="D43" s="15" t="inlineStr">
        <is>
          <t>AC-28</t>
        </is>
      </c>
      <c r="E43" s="16" t="inlineStr">
        <is>
          <t>L1 MVP必須</t>
        </is>
      </c>
      <c r="F43" s="14" t="inlineStr">
        <is>
          <t>文字化けしない</t>
        </is>
      </c>
      <c r="G43" s="14" t="inlineStr">
        <is>
          <t>文字化け=0箇所</t>
        </is>
      </c>
      <c r="H43" s="14" t="inlineStr">
        <is>
          <t>不可（外部提出に使えない）</t>
        </is>
      </c>
      <c r="I43" s="14" t="inlineStr">
        <is>
          <t>BOM付きUTF-8で出力する</t>
        </is>
      </c>
      <c r="J43" s="14" t="inlineStr">
        <is>
          <t>設定・実績エクスポート</t>
        </is>
      </c>
      <c r="K43" s="14" t="inlineStr">
        <is>
          <t>T-E07</t>
        </is>
      </c>
      <c r="L43" s="14" t="inlineStr">
        <is>
          <t>§第2部 フロー1・8・9・10</t>
        </is>
      </c>
      <c r="M43" s="14" t="inlineStr">
        <is>
          <t>T-E07.png</t>
        </is>
      </c>
      <c r="N43" s="17" t="inlineStr"/>
      <c r="O43" s="18" t="inlineStr"/>
      <c r="P43" s="17" t="inlineStr"/>
      <c r="Q43" s="17" t="inlineStr"/>
    </row>
    <row r="44">
      <c r="A44" s="14" t="inlineStr">
        <is>
          <t>M4 顧客とCSが自分で運用できる</t>
        </is>
      </c>
      <c r="B44" s="14" t="inlineStr">
        <is>
          <t>CSVで取り込め、必要な項目だけ出力でき、原因を追える</t>
        </is>
      </c>
      <c r="C44" s="14" t="inlineStr">
        <is>
          <t>画面：たどり着ける</t>
        </is>
      </c>
      <c r="D44" s="15" t="inlineStr">
        <is>
          <t>AC-29</t>
        </is>
      </c>
      <c r="E44" s="16" t="inlineStr">
        <is>
          <t>L1 MVP必須</t>
        </is>
      </c>
      <c r="F44" s="14" t="inlineStr">
        <is>
          <t>2グループ7項目が表示される</t>
        </is>
      </c>
      <c r="G44" s="14" t="inlineStr">
        <is>
          <t>欠落=0</t>
        </is>
      </c>
      <c r="H44" s="14" t="inlineStr">
        <is>
          <t>不可（画面に到達できない）</t>
        </is>
      </c>
      <c r="I44" s="14" t="inlineStr">
        <is>
          <t>閲覧・管理3／データ連携4でグループ化</t>
        </is>
      </c>
      <c r="J44" s="14" t="inlineStr">
        <is>
          <t>サイドバー</t>
        </is>
      </c>
      <c r="K44" s="14" t="inlineStr">
        <is>
          <t>T-Z04</t>
        </is>
      </c>
      <c r="L44" s="14" t="inlineStr">
        <is>
          <t>§第1部 9 画面の構成 ／ 第2部 ケース別遷移</t>
        </is>
      </c>
      <c r="M44" s="14" t="inlineStr">
        <is>
          <t>T-Z04.png</t>
        </is>
      </c>
      <c r="N44" s="17" t="inlineStr"/>
      <c r="O44" s="18" t="inlineStr"/>
      <c r="P44" s="17" t="inlineStr"/>
      <c r="Q44" s="17" t="inlineStr"/>
    </row>
    <row r="45">
      <c r="A45" s="14" t="inlineStr">
        <is>
          <t>M4 顧客とCSが自分で運用できる</t>
        </is>
      </c>
      <c r="B45" s="14" t="inlineStr">
        <is>
          <t>CSVで取り込め、必要な項目だけ出力でき、原因を追える</t>
        </is>
      </c>
      <c r="C45" s="14" t="inlineStr">
        <is>
          <t>画面：操作が最後まで通る</t>
        </is>
      </c>
      <c r="D45" s="15" t="inlineStr">
        <is>
          <t>AC-30</t>
        </is>
      </c>
      <c r="E45" s="16" t="inlineStr">
        <is>
          <t>L1 MVP必須</t>
        </is>
      </c>
      <c r="F45" s="14" t="inlineStr">
        <is>
          <t>仕様書 第2部の遷移どおりに画面が繋がる（取込データ⇄人件費実績の相互導線を含む）</t>
        </is>
      </c>
      <c r="G45" s="14" t="inlineStr">
        <is>
          <t>不通=0</t>
        </is>
      </c>
      <c r="H45" s="14" t="inlineStr">
        <is>
          <t>不可（フローが途中で切れる）</t>
        </is>
      </c>
      <c r="I45" s="14" t="inlineStr">
        <is>
          <t>キャンセル・戻る・エラー時の遷移を含めて実装する</t>
        </is>
      </c>
      <c r="J45" s="14" t="inlineStr">
        <is>
          <t>全画面</t>
        </is>
      </c>
      <c r="K45" s="14" t="inlineStr">
        <is>
          <t>T-D08 T-E04 T-H04 T-I02 T-I09 T-L06 T-N03 T-R07 T-Z05</t>
        </is>
      </c>
      <c r="L45" s="14" t="inlineStr">
        <is>
          <t>§第1部 9 画面の構成 ／ 第2部 ケース別遷移</t>
        </is>
      </c>
      <c r="M45" s="14" t="inlineStr">
        <is>
          <t>T-D08.png</t>
        </is>
      </c>
      <c r="N45" s="17" t="inlineStr"/>
      <c r="O45" s="18" t="inlineStr"/>
      <c r="P45" s="17" t="inlineStr"/>
      <c r="Q45" s="17" t="inlineStr"/>
    </row>
    <row r="46">
      <c r="A46" s="14" t="inlineStr">
        <is>
          <t>M4 顧客とCSが自分で運用できる</t>
        </is>
      </c>
      <c r="B46" s="14" t="inlineStr">
        <is>
          <t>CSVで取り込め、必要な項目だけ出力でき、原因を追える</t>
        </is>
      </c>
      <c r="C46" s="14" t="inlineStr">
        <is>
          <t>画面：対象を探せる</t>
        </is>
      </c>
      <c r="D46" s="15" t="inlineStr">
        <is>
          <t>AC-33</t>
        </is>
      </c>
      <c r="E46" s="16" t="inlineStr">
        <is>
          <t>L1 MVP必須</t>
        </is>
      </c>
      <c r="F46" s="14" t="inlineStr">
        <is>
          <t>フィルタで対象を絞り込める</t>
        </is>
      </c>
      <c r="G46" s="14" t="inlineStr">
        <is>
          <t>各条件で絞り込みが効く（無反応=0）</t>
        </is>
      </c>
      <c r="H46" s="14" t="inlineStr">
        <is>
          <t>条件付きGo可（件数が少ないうちは実害小）</t>
        </is>
      </c>
      <c r="I46" s="14" t="inlineStr">
        <is>
          <t>1段目=絞り込み、2段目=対象データとして独立に効かせる</t>
        </is>
      </c>
      <c r="J46" s="14" t="inlineStr">
        <is>
          <t>従業員一覧／設定履歴</t>
        </is>
      </c>
      <c r="K46" s="14" t="inlineStr">
        <is>
          <t>T-H04 T-L08</t>
        </is>
      </c>
      <c r="L46" s="14" t="inlineStr">
        <is>
          <t>§第1部 9 画面の構成 ／ 第2部 ケース別遷移</t>
        </is>
      </c>
      <c r="M46" s="14" t="inlineStr">
        <is>
          <t>T-H04.png</t>
        </is>
      </c>
      <c r="N46" s="17" t="inlineStr"/>
      <c r="O46" s="18" t="inlineStr"/>
      <c r="P46" s="17" t="inlineStr"/>
      <c r="Q46" s="17" t="inlineStr"/>
    </row>
    <row r="47">
      <c r="A47" s="14" t="inlineStr">
        <is>
          <t>M4 顧客とCSが自分で運用できる</t>
        </is>
      </c>
      <c r="B47" s="14" t="inlineStr">
        <is>
          <t>CSVで取り込め、必要な項目だけ出力でき、原因を追える</t>
        </is>
      </c>
      <c r="C47" s="14" t="inlineStr">
        <is>
          <t>データ保全：消える操作は確認を経る</t>
        </is>
      </c>
      <c r="D47" s="15" t="inlineStr">
        <is>
          <t>AC-34</t>
        </is>
      </c>
      <c r="E47" s="16" t="inlineStr">
        <is>
          <t>L1 MVP必須</t>
        </is>
      </c>
      <c r="F47" s="14" t="inlineStr">
        <is>
          <t>確認を経てのみ削除される</t>
        </is>
      </c>
      <c r="G47" s="14" t="inlineStr">
        <is>
          <t>確認なしの削除=0件、キャンセル時の削除=0件</t>
        </is>
      </c>
      <c r="H47" s="14" t="inlineStr">
        <is>
          <t>不可（誤操作で過去の紐付けが失われる）</t>
        </is>
      </c>
      <c r="I47" s="14" t="inlineStr">
        <is>
          <t>削除前に確認ダイアログ。キャンセルでリクエストを送らない</t>
        </is>
      </c>
      <c r="J47" s="14" t="inlineStr">
        <is>
          <t>従業員一覧／従業員詳細</t>
        </is>
      </c>
      <c r="K47" s="14" t="inlineStr">
        <is>
          <t>T-D08 T-L10</t>
        </is>
      </c>
      <c r="L47" s="14" t="inlineStr">
        <is>
          <t>§第2部 フロー1・2 ／ 第5部 判断9</t>
        </is>
      </c>
      <c r="M47" s="14" t="inlineStr">
        <is>
          <t>T-D08.png</t>
        </is>
      </c>
      <c r="N47" s="17" t="inlineStr"/>
      <c r="O47" s="18" t="inlineStr"/>
      <c r="P47" s="17" t="inlineStr"/>
      <c r="Q47" s="17" t="inlineStr"/>
    </row>
    <row r="48">
      <c r="A48" s="14" t="inlineStr">
        <is>
          <t>M4 顧客とCSが自分で運用できる</t>
        </is>
      </c>
      <c r="B48" s="14" t="inlineStr">
        <is>
          <t>CSVで取り込め、必要な項目だけ出力でき、原因を追える</t>
        </is>
      </c>
      <c r="C48" s="14" t="inlineStr">
        <is>
          <t>計算：個人単位でも同じ数字</t>
        </is>
      </c>
      <c r="D48" s="15" t="inlineStr">
        <is>
          <t>AC-35</t>
        </is>
      </c>
      <c r="E48" s="16" t="inlineStr">
        <is>
          <t>L1 MVP必須</t>
        </is>
      </c>
      <c r="F48" s="14" t="inlineStr">
        <is>
          <t>画面が変わっても同じ数字が出る</t>
        </is>
      </c>
      <c r="G48" s="14" t="inlineStr">
        <is>
          <t>同一従業員・同一月で差分=0円</t>
        </is>
      </c>
      <c r="H48" s="14" t="inlineStr">
        <is>
          <t>条件付きGo可（説明コストが増える）</t>
        </is>
      </c>
      <c r="I48" s="14" t="inlineStr">
        <is>
          <t>同じ集計ロジックを共有する（画面ごとに別計算をしない）</t>
        </is>
      </c>
      <c r="J48" s="14" t="inlineStr">
        <is>
          <t>従業員詳細（給与実績）</t>
        </is>
      </c>
      <c r="K48" s="14" t="inlineStr">
        <is>
          <t>T-D09 R-04</t>
        </is>
      </c>
      <c r="L48" s="14" t="inlineStr">
        <is>
          <t>§第5部 11-A 確定した算式</t>
        </is>
      </c>
      <c r="M48" s="14" t="inlineStr">
        <is>
          <t>T-D09.png</t>
        </is>
      </c>
      <c r="N48" s="17" t="inlineStr"/>
      <c r="O48" s="18" t="inlineStr"/>
      <c r="P48" s="17" t="inlineStr"/>
      <c r="Q48" s="17" t="inlineStr"/>
    </row>
    <row r="49">
      <c r="A49" s="14" t="inlineStr">
        <is>
          <t>M4 顧客とCSが自分で運用できる</t>
        </is>
      </c>
      <c r="B49" s="14" t="inlineStr">
        <is>
          <t>CSVで取り込め、必要な項目だけ出力でき、原因を追える</t>
        </is>
      </c>
      <c r="C49" s="14" t="inlineStr">
        <is>
          <t>入出力：画面の内容と一致</t>
        </is>
      </c>
      <c r="D49" s="15" t="inlineStr">
        <is>
          <t>AC-36</t>
        </is>
      </c>
      <c r="E49" s="16" t="inlineStr">
        <is>
          <t>L1 MVP必須</t>
        </is>
      </c>
      <c r="F49" s="14" t="inlineStr">
        <is>
          <t>表示中の内容どおりに出力される</t>
        </is>
      </c>
      <c r="G49" s="14" t="inlineStr">
        <is>
          <t>出力の行・列＝画面の表示（差分0）</t>
        </is>
      </c>
      <c r="H49" s="14" t="inlineStr">
        <is>
          <t>条件付きGo可</t>
        </is>
      </c>
      <c r="I49" s="14" t="inlineStr">
        <is>
          <t>出力は画面の絞り込み条件を引き継ぐ（全件出力にしない）</t>
        </is>
      </c>
      <c r="J49" s="14" t="inlineStr">
        <is>
          <t>人件費実績／設定履歴／従業員詳細</t>
        </is>
      </c>
      <c r="K49" s="14" t="inlineStr">
        <is>
          <t>T-A07 T-D09 T-H04</t>
        </is>
      </c>
      <c r="L49" s="14" t="inlineStr">
        <is>
          <t>§第2部 フロー1・8・9・10</t>
        </is>
      </c>
      <c r="M49" s="14" t="inlineStr">
        <is>
          <t>T-A07.png</t>
        </is>
      </c>
      <c r="N49" s="17" t="inlineStr"/>
      <c r="O49" s="18" t="inlineStr"/>
      <c r="P49" s="17" t="inlineStr"/>
      <c r="Q49" s="17" t="inlineStr"/>
    </row>
    <row r="50">
      <c r="A50" s="14" t="inlineStr">
        <is>
          <t>M4 顧客とCSが自分で運用できる</t>
        </is>
      </c>
      <c r="B50" s="14" t="inlineStr">
        <is>
          <t>CSVで取り込め、必要な項目だけ出力でき、原因を追える</t>
        </is>
      </c>
      <c r="C50" s="14" t="inlineStr">
        <is>
          <t>入出力：現場のCSVをそのまま使える</t>
        </is>
      </c>
      <c r="D50" s="15" t="inlineStr">
        <is>
          <t>AC-37</t>
        </is>
      </c>
      <c r="E50" s="16" t="inlineStr">
        <is>
          <t>L1 MVP必須</t>
        </is>
      </c>
      <c r="F50" s="14" t="inlineStr">
        <is>
          <t>開始行を指定すれば取り込める</t>
        </is>
      </c>
      <c r="G50" s="14" t="inlineStr">
        <is>
          <t>取込成功=全行</t>
        </is>
      </c>
      <c r="H50" s="14" t="inlineStr">
        <is>
          <t>条件付きGo可（顧客にCSV加工を依頼する運用で代替）</t>
        </is>
      </c>
      <c r="I50" s="14" t="inlineStr">
        <is>
          <t>ヘッダー行・データ開始行・開始列を指定できる</t>
        </is>
      </c>
      <c r="J50" s="14" t="inlineStr">
        <is>
          <t>設定インポート</t>
        </is>
      </c>
      <c r="K50" s="14" t="inlineStr">
        <is>
          <t>T-I11</t>
        </is>
      </c>
      <c r="L50" s="14" t="inlineStr">
        <is>
          <t>§第2部 フロー1・8・9・10</t>
        </is>
      </c>
      <c r="M50" s="14" t="inlineStr">
        <is>
          <t>T-I11.png</t>
        </is>
      </c>
      <c r="N50" s="17" t="inlineStr"/>
      <c r="O50" s="18" t="inlineStr"/>
      <c r="P50" s="17" t="inlineStr"/>
      <c r="Q50" s="17" t="inlineStr"/>
    </row>
    <row r="51">
      <c r="A51" s="14" t="inlineStr">
        <is>
          <t>M4 顧客とCSが自分で運用できる</t>
        </is>
      </c>
      <c r="B51" s="14" t="inlineStr">
        <is>
          <t>CSVで取り込め、必要な項目だけ出力でき、原因を追える</t>
        </is>
      </c>
      <c r="C51" s="14" t="inlineStr">
        <is>
          <t>入出力：原因を追える</t>
        </is>
      </c>
      <c r="D51" s="15" t="inlineStr">
        <is>
          <t>AC-39</t>
        </is>
      </c>
      <c r="E51" s="16" t="inlineStr">
        <is>
          <t>L1 MVP必須</t>
        </is>
      </c>
      <c r="F51" s="14" t="inlineStr">
        <is>
          <t>取り込んだ元データを確認できる</t>
        </is>
      </c>
      <c r="G51" s="14" t="inlineStr">
        <is>
          <t>設定・実績とも参照可能</t>
        </is>
      </c>
      <c r="H51" s="14" t="inlineStr">
        <is>
          <t>条件付きGo可（DBを直接見る運用で代替）</t>
        </is>
      </c>
      <c r="I51" s="14" t="inlineStr">
        <is>
          <t>取込ファイルと取込結果を保存し、画面から参照できる</t>
        </is>
      </c>
      <c r="J51" s="14" t="inlineStr">
        <is>
          <t>設定取込データ／実績取込データ</t>
        </is>
      </c>
      <c r="K51" s="14" t="inlineStr">
        <is>
          <t>T-N01</t>
        </is>
      </c>
      <c r="L51" s="14" t="inlineStr">
        <is>
          <t>§第2部 フロー1・8・9・10</t>
        </is>
      </c>
      <c r="M51" s="14" t="inlineStr">
        <is>
          <t>T-N01.png</t>
        </is>
      </c>
      <c r="N51" s="17" t="inlineStr"/>
      <c r="O51" s="18" t="inlineStr"/>
      <c r="P51" s="17" t="inlineStr"/>
      <c r="Q51" s="17" t="inlineStr"/>
    </row>
    <row r="52">
      <c r="A52" s="14" t="inlineStr">
        <is>
          <t>M4 顧客とCSが自分で運用できる</t>
        </is>
      </c>
      <c r="B52" s="14" t="inlineStr">
        <is>
          <t>CSVで取り込め、必要な項目だけ出力でき、原因を追える</t>
        </is>
      </c>
      <c r="C52" s="14" t="inlineStr">
        <is>
          <t>データ保全：中途半端に残さない</t>
        </is>
      </c>
      <c r="D52" s="15" t="inlineStr">
        <is>
          <t>AC-42</t>
        </is>
      </c>
      <c r="E52" s="16" t="inlineStr">
        <is>
          <t>L1 MVP必須</t>
        </is>
      </c>
      <c r="F52" s="14" t="inlineStr">
        <is>
          <t>途中で失敗しても中途半端な状態が残らない</t>
        </is>
      </c>
      <c r="G52" s="14" t="inlineStr">
        <is>
          <t>部分登録の残存=0件</t>
        </is>
      </c>
      <c r="H52" s="14" t="inlineStr">
        <is>
          <t>不可（どこまで入ったか分からず復旧できない）</t>
        </is>
      </c>
      <c r="I52" s="14" t="inlineStr">
        <is>
          <t>全体をトランザクションで囲む（全体拒否）か、行単位で結果を明示する。どちらでも可だが挙動を固定する</t>
        </is>
      </c>
      <c r="J52" s="14" t="inlineStr">
        <is>
          <t>設定インポート</t>
        </is>
      </c>
      <c r="K52" s="14" t="inlineStr">
        <is>
          <t>T-I18 R-03</t>
        </is>
      </c>
      <c r="L52" s="14" t="inlineStr">
        <is>
          <t>§第2部 フロー1・2 ／ 第5部 判断9</t>
        </is>
      </c>
      <c r="M52" s="14" t="inlineStr">
        <is>
          <t>T-I18.png</t>
        </is>
      </c>
      <c r="N52" s="17" t="inlineStr"/>
      <c r="O52" s="18" t="inlineStr"/>
      <c r="P52" s="17" t="inlineStr"/>
      <c r="Q52" s="17" t="inlineStr"/>
    </row>
    <row r="53">
      <c r="A53" s="14" t="inlineStr">
        <is>
          <t>M4 顧客とCSが自分で運用できる</t>
        </is>
      </c>
      <c r="B53" s="14" t="inlineStr">
        <is>
          <t>CSVで取り込め、必要な項目だけ出力でき、原因を追える</t>
        </is>
      </c>
      <c r="C53" s="14" t="inlineStr">
        <is>
          <t>データ保全：不完全な登録を作らない</t>
        </is>
      </c>
      <c r="D53" s="15" t="inlineStr">
        <is>
          <t>AC-43</t>
        </is>
      </c>
      <c r="E53" s="16" t="inlineStr">
        <is>
          <t>L1 MVP必須</t>
        </is>
      </c>
      <c r="F53" s="14" t="inlineStr">
        <is>
          <t>必須が欠けたまま保存も遷移もしない</t>
        </is>
      </c>
      <c r="G53" s="14" t="inlineStr">
        <is>
          <t>未入力での登録成功=0件、遷移=0件</t>
        </is>
      </c>
      <c r="H53" s="14" t="inlineStr">
        <is>
          <t>不可（締め時に止まる従業員が生まれる）</t>
        </is>
      </c>
      <c r="I53" s="14" t="inlineStr">
        <is>
          <t>サーバ側でも必須チェック（画面側だけにしない）。エラー時は同一画面に留まる</t>
        </is>
      </c>
      <c r="J53" s="14" t="inlineStr">
        <is>
          <t>従業員登録</t>
        </is>
      </c>
      <c r="K53" s="14" t="inlineStr">
        <is>
          <t>T-R10 R-03</t>
        </is>
      </c>
      <c r="L53" s="14" t="inlineStr">
        <is>
          <t>§第2部 フロー1・2 ／ 第5部 判断9</t>
        </is>
      </c>
      <c r="M53" s="14" t="inlineStr">
        <is>
          <t>T-R10.png</t>
        </is>
      </c>
      <c r="N53" s="17" t="inlineStr"/>
      <c r="O53" s="18" t="inlineStr"/>
      <c r="P53" s="17" t="inlineStr"/>
      <c r="Q53" s="17" t="inlineStr"/>
    </row>
    <row r="54">
      <c r="A54" s="14" t="inlineStr">
        <is>
          <t>M4 顧客とCSが自分で運用できる</t>
        </is>
      </c>
      <c r="B54" s="14" t="inlineStr">
        <is>
          <t>CSVで取り込め、必要な項目だけ出力でき、原因を追える</t>
        </is>
      </c>
      <c r="C54" s="14" t="inlineStr">
        <is>
          <t>データ保全：取り込む前に気づける</t>
        </is>
      </c>
      <c r="D54" s="15" t="inlineStr">
        <is>
          <t>AC-50</t>
        </is>
      </c>
      <c r="E54" s="16" t="inlineStr">
        <is>
          <t>L1 MVP必須</t>
        </is>
      </c>
      <c r="F54" s="14" t="inlineStr">
        <is>
          <t>取り込む前に、内容のプレビューと前回との差分を確認できること</t>
        </is>
      </c>
      <c r="G54" s="14" t="inlineStr">
        <is>
          <t>プレビューで取込内容が表示される。前回差分で「前回◯◯→新規◯◯」の形式で差が表示される（差分が出ない=0件）</t>
        </is>
      </c>
      <c r="H54" s="14" t="inlineStr">
        <is>
          <t>条件付きGo可（取込後に人件費実績で確認する運用で代替。ただし気づくのが遅れる）</t>
        </is>
      </c>
      <c r="I54" s="14" t="inlineStr">
        <is>
          <t>前回の取込内容を保持し、項目単位で新旧を比較して差だけを提示する</t>
        </is>
      </c>
      <c r="J54" s="14" t="inlineStr">
        <is>
          <t>設定取込データ／実績取込データ</t>
        </is>
      </c>
      <c r="K54" s="14" t="inlineStr">
        <is>
          <t>T-N02</t>
        </is>
      </c>
      <c r="L54" s="14" t="inlineStr">
        <is>
          <t>§第2部 フロー1・2 ／ 第5部 判断9</t>
        </is>
      </c>
      <c r="M54" s="14" t="inlineStr">
        <is>
          <t>T-N02.png</t>
        </is>
      </c>
      <c r="N54" s="17" t="inlineStr"/>
      <c r="O54" s="18" t="inlineStr"/>
      <c r="P54" s="17" t="inlineStr"/>
      <c r="Q54" s="17" t="inlineStr"/>
    </row>
    <row r="55">
      <c r="A55" s="14" t="inlineStr">
        <is>
          <t>M5 既存顧客を壊さない</t>
        </is>
      </c>
      <c r="B55" s="14" t="inlineStr">
        <is>
          <t>移行しても既存データと過去月の人件費が変わらない</t>
        </is>
      </c>
      <c r="C55" s="14" t="inlineStr">
        <is>
          <t>移行：既存顧客が壊れない</t>
        </is>
      </c>
      <c r="D55" s="15" t="inlineStr">
        <is>
          <t>AC-01</t>
        </is>
      </c>
      <c r="E55" s="19" t="inlineStr">
        <is>
          <t>L0 リリース不可</t>
        </is>
      </c>
      <c r="F55" s="14" t="inlineStr">
        <is>
          <t>移行後も既存の従業員が同じ内容で見える</t>
        </is>
      </c>
      <c r="G55" s="14" t="inlineStr">
        <is>
          <t>件数の増減=0／12項目の差分=0</t>
        </is>
      </c>
      <c r="H55" s="14" t="inlineStr">
        <is>
          <t>★中止（既存顧客のマスタが壊れる）</t>
        </is>
      </c>
      <c r="I55" s="14" t="inlineStr">
        <is>
          <t>移行スクリプトが既存レコードを1対1で新モデルへ写像する。項目の欠落・型変換の失敗が0件</t>
        </is>
      </c>
      <c r="J55" s="14" t="inlineStr">
        <is>
          <t>従業員一覧</t>
        </is>
      </c>
      <c r="K55" s="14" t="inlineStr">
        <is>
          <t>T-L01 T-Z01 T-Z05</t>
        </is>
      </c>
      <c r="L55" s="14" t="inlineStr">
        <is>
          <t>§第4部 11 リリース段階 ／ 第7部 15 Go・No-Go</t>
        </is>
      </c>
      <c r="M55" s="14" t="inlineStr">
        <is>
          <t>T-L01.png</t>
        </is>
      </c>
      <c r="N55" s="17" t="inlineStr"/>
      <c r="O55" s="18" t="inlineStr"/>
      <c r="P55" s="17" t="inlineStr"/>
      <c r="Q55" s="17" t="inlineStr"/>
    </row>
    <row r="56">
      <c r="A56" s="14" t="inlineStr">
        <is>
          <t>M5 既存顧客を壊さない</t>
        </is>
      </c>
      <c r="B56" s="14" t="inlineStr">
        <is>
          <t>移行しても既存データと過去月の人件費が変わらない</t>
        </is>
      </c>
      <c r="C56" s="14" t="inlineStr">
        <is>
          <t>移行：過去が動かない</t>
        </is>
      </c>
      <c r="D56" s="15" t="inlineStr">
        <is>
          <t>AC-03</t>
        </is>
      </c>
      <c r="E56" s="19" t="inlineStr">
        <is>
          <t>L0 リリース不可</t>
        </is>
      </c>
      <c r="F56" s="14" t="inlineStr">
        <is>
          <t>移行しても過去月の人件費が1円も変わらない</t>
        </is>
      </c>
      <c r="G56" s="14" t="inlineStr">
        <is>
          <t>3か月とも差分=0円</t>
        </is>
      </c>
      <c r="H56" s="14" t="inlineStr">
        <is>
          <t>★中止（この機能の存在意義が消える）</t>
        </is>
      </c>
      <c r="I56" s="14" t="inlineStr">
        <is>
          <t>移行時に各従業員へ「過去日の初回適用レコード」を必ず付与し、過去月の再計算を走らせない</t>
        </is>
      </c>
      <c r="J56" s="14" t="inlineStr">
        <is>
          <t>人件費実績（月別）</t>
        </is>
      </c>
      <c r="K56" s="14" t="inlineStr">
        <is>
          <t>T-Z01</t>
        </is>
      </c>
      <c r="L56" s="14" t="inlineStr">
        <is>
          <t>§第4部 11 リリース段階 ／ 第7部 15 Go・No-Go</t>
        </is>
      </c>
      <c r="M56" s="14" t="inlineStr">
        <is>
          <t>T-Z01.png</t>
        </is>
      </c>
      <c r="N56" s="17" t="inlineStr"/>
      <c r="O56" s="18" t="inlineStr"/>
      <c r="P56" s="17" t="inlineStr"/>
      <c r="Q56" s="17" t="inlineStr"/>
    </row>
    <row r="57">
      <c r="A57" s="14" t="inlineStr">
        <is>
          <t>M6 次段階（今回は実装しない）</t>
        </is>
      </c>
      <c r="B57" s="14" t="inlineStr">
        <is>
          <t>無くても業務は回る。実測を記録し次の優先順位を決める</t>
        </is>
      </c>
      <c r="C57" s="14" t="inlineStr">
        <is>
          <t>画面：状態が漏れない</t>
        </is>
      </c>
      <c r="D57" s="15" t="inlineStr">
        <is>
          <t>AC-31</t>
        </is>
      </c>
      <c r="E57" s="20" t="inlineStr">
        <is>
          <t>L2 次段階</t>
        </is>
      </c>
      <c r="F57" s="14" t="inlineStr">
        <is>
          <t>切替が他画面に影響しない</t>
        </is>
      </c>
      <c r="G57" s="14" t="inlineStr">
        <is>
          <t>他画面の表示モードが変わらない</t>
        </is>
      </c>
      <c r="H57" s="14" t="inlineStr">
        <is>
          <t>影響なし</t>
        </is>
      </c>
      <c r="I57" s="14" t="inlineStr">
        <is>
          <t>表示モードを画面ローカルに持つ</t>
        </is>
      </c>
      <c r="J57" s="14" t="inlineStr">
        <is>
          <t>人件費実績／従業員詳細</t>
        </is>
      </c>
      <c r="K57" s="14" t="inlineStr">
        <is>
          <t>T-A02</t>
        </is>
      </c>
      <c r="L57" s="14" t="inlineStr">
        <is>
          <t>§第1部 9 画面の構成 ／ 第2部 ケース別遷移</t>
        </is>
      </c>
      <c r="M57" s="14" t="inlineStr">
        <is>
          <t>T-A02.png</t>
        </is>
      </c>
      <c r="N57" s="17" t="inlineStr"/>
      <c r="O57" s="18" t="inlineStr"/>
      <c r="P57" s="17" t="inlineStr"/>
      <c r="Q57" s="17" t="inlineStr"/>
    </row>
    <row r="58">
      <c r="A58" s="14" t="inlineStr">
        <is>
          <t>M6 次段階（今回は実装しない）</t>
        </is>
      </c>
      <c r="B58" s="14" t="inlineStr">
        <is>
          <t>無くても業務は回る。実測を記録し次の優先順位を決める</t>
        </is>
      </c>
      <c r="C58" s="14" t="inlineStr">
        <is>
          <t>原則②：締め前の事前チェック</t>
        </is>
      </c>
      <c r="D58" s="15" t="inlineStr">
        <is>
          <t>AC-32</t>
        </is>
      </c>
      <c r="E58" s="20" t="inlineStr">
        <is>
          <t>L2 次段階</t>
        </is>
      </c>
      <c r="F58" s="14" t="inlineStr">
        <is>
          <t>事前に警告が出る</t>
        </is>
      </c>
      <c r="G58" s="14" t="inlineStr">
        <is>
          <t>警告表示=1回</t>
        </is>
      </c>
      <c r="H58" s="14" t="inlineStr">
        <is>
          <t>影響なし（次リリースで対応）</t>
        </is>
      </c>
      <c r="I58" s="14" t="inlineStr">
        <is>
          <t>締め実行時に設定の欠落を検出して警告（「従業員設定確定」廃止の代替）</t>
        </is>
      </c>
      <c r="J58" s="14" t="inlineStr">
        <is>
          <t>人件費実績（月別）</t>
        </is>
      </c>
      <c r="K58" s="14" t="inlineStr">
        <is>
          <t>T-S03</t>
        </is>
      </c>
      <c r="L58" s="14" t="inlineStr">
        <is>
          <t>§第1部 7 原則② ／ 第2部 フロー6・7</t>
        </is>
      </c>
      <c r="M58" s="14" t="inlineStr">
        <is>
          <t>T-S03.png</t>
        </is>
      </c>
      <c r="N58" s="17" t="inlineStr"/>
      <c r="O58" s="18" t="inlineStr"/>
      <c r="P58" s="17" t="inlineStr"/>
      <c r="Q58" s="17" t="inlineStr"/>
    </row>
    <row r="59">
      <c r="A59" s="14" t="inlineStr">
        <is>
          <t>M6 次段階（今回は実装しない）</t>
        </is>
      </c>
      <c r="B59" s="14" t="inlineStr">
        <is>
          <t>無くても業務は回る。実測を記録し次の優先順位を決める</t>
        </is>
      </c>
      <c r="C59" s="14" t="inlineStr">
        <is>
          <t>入出力：テンプレートの運用</t>
        </is>
      </c>
      <c r="D59" s="15" t="inlineStr">
        <is>
          <t>AC-38</t>
        </is>
      </c>
      <c r="E59" s="20" t="inlineStr">
        <is>
          <t>L2 次段階</t>
        </is>
      </c>
      <c r="F59" s="14" t="inlineStr">
        <is>
          <t>編集・削除・一括登録ができる</t>
        </is>
      </c>
      <c r="G59" s="14" t="inlineStr">
        <is>
          <t>いずれも成功（失敗=0）</t>
        </is>
      </c>
      <c r="H59" s="14" t="inlineStr">
        <is>
          <t>影響なし</t>
        </is>
      </c>
      <c r="I59" s="14" t="inlineStr">
        <is>
          <t>テンプレートのCRUDとCSVでの一括登録</t>
        </is>
      </c>
      <c r="J59" s="14" t="inlineStr">
        <is>
          <t>列マッピングテンプレート</t>
        </is>
      </c>
      <c r="K59" s="14" t="inlineStr">
        <is>
          <t>T-I09</t>
        </is>
      </c>
      <c r="L59" s="14" t="inlineStr">
        <is>
          <t>§第2部 フロー1・8・9・10</t>
        </is>
      </c>
      <c r="M59" s="14" t="inlineStr">
        <is>
          <t>T-I09.png</t>
        </is>
      </c>
      <c r="N59" s="17" t="inlineStr"/>
      <c r="O59" s="18" t="inlineStr"/>
      <c r="P59" s="17" t="inlineStr"/>
      <c r="Q59" s="17" t="inlineStr"/>
    </row>
    <row r="60">
      <c r="A60" s="14" t="inlineStr">
        <is>
          <t>M6 次段階（今回は実装しない）</t>
        </is>
      </c>
      <c r="B60" s="14" t="inlineStr">
        <is>
          <t>無くても業務は回る。実測を記録し次の優先順位を決める</t>
        </is>
      </c>
      <c r="C60" s="14" t="inlineStr">
        <is>
          <t>データ保全：同時操作</t>
        </is>
      </c>
      <c r="D60" s="15" t="inlineStr">
        <is>
          <t>AC-44</t>
        </is>
      </c>
      <c r="E60" s="20" t="inlineStr">
        <is>
          <t>L2 次段階</t>
        </is>
      </c>
      <c r="F60" s="14" t="inlineStr">
        <is>
          <t>競合が制御される</t>
        </is>
      </c>
      <c r="G60" s="14" t="inlineStr">
        <is>
          <t>不整合=0件</t>
        </is>
      </c>
      <c r="H60" s="14" t="inlineStr">
        <is>
          <t>影響なし（担当は通常1〜2名）</t>
        </is>
      </c>
      <c r="I60" s="14" t="inlineStr">
        <is>
          <t>締めに排他制御を入れる</t>
        </is>
      </c>
      <c r="J60" s="14" t="inlineStr">
        <is>
          <t>人件費実績（月別）</t>
        </is>
      </c>
      <c r="K60" s="14" t="inlineStr">
        <is>
          <t>-</t>
        </is>
      </c>
      <c r="L60" s="14" t="inlineStr">
        <is>
          <t>§第2部 フロー1・2 ／ 第5部 判断9</t>
        </is>
      </c>
      <c r="M60" s="14" t="inlineStr">
        <is>
          <t>-</t>
        </is>
      </c>
      <c r="N60" s="17" t="inlineStr"/>
      <c r="O60" s="18" t="inlineStr"/>
      <c r="P60" s="17" t="inlineStr"/>
      <c r="Q60" s="17" t="inlineStr"/>
    </row>
    <row r="61">
      <c r="A61" s="14" t="inlineStr">
        <is>
          <t>M6 次段階（今回は実装しない）</t>
        </is>
      </c>
      <c r="B61" s="14" t="inlineStr">
        <is>
          <t>無くても業務は回る。実測を記録し次の優先順位を決める</t>
        </is>
      </c>
      <c r="C61" s="14" t="inlineStr">
        <is>
          <t>原則②：確定操作の監査</t>
        </is>
      </c>
      <c r="D61" s="15" t="inlineStr">
        <is>
          <t>AC-45</t>
        </is>
      </c>
      <c r="E61" s="20" t="inlineStr">
        <is>
          <t>L2 次段階</t>
        </is>
      </c>
      <c r="F61" s="14" t="inlineStr">
        <is>
          <t>実行者と日時が記録される</t>
        </is>
      </c>
      <c r="G61" s="14" t="inlineStr">
        <is>
          <t>解除の記録=1件/回</t>
        </is>
      </c>
      <c r="H61" s="14" t="inlineStr">
        <is>
          <t>影響なし（現状はT-S05の所見で代替）</t>
        </is>
      </c>
      <c r="I61" s="14" t="inlineStr">
        <is>
          <t>解除ログを保存する</t>
        </is>
      </c>
      <c r="J61" s="14" t="inlineStr">
        <is>
          <t>人件費実績（月別）</t>
        </is>
      </c>
      <c r="K61" s="14" t="inlineStr">
        <is>
          <t>-</t>
        </is>
      </c>
      <c r="L61" s="14" t="inlineStr">
        <is>
          <t>§第1部 7 原則② ／ 第2部 フロー6・7</t>
        </is>
      </c>
      <c r="M61" s="14" t="inlineStr">
        <is>
          <t>-</t>
        </is>
      </c>
      <c r="N61" s="17" t="inlineStr"/>
      <c r="O61" s="18" t="inlineStr"/>
      <c r="P61" s="17" t="inlineStr"/>
      <c r="Q61" s="17" t="inlineStr"/>
    </row>
    <row r="62">
      <c r="A62" s="14" t="inlineStr">
        <is>
          <t>M6 次段階（今回は実装しない）</t>
        </is>
      </c>
      <c r="B62" s="14" t="inlineStr">
        <is>
          <t>無くても業務は回る。実測を記録し次の優先順位を決める</t>
        </is>
      </c>
      <c r="C62" s="14" t="inlineStr">
        <is>
          <t>画面：規模に耐える</t>
        </is>
      </c>
      <c r="D62" s="15" t="inlineStr">
        <is>
          <t>AC-46</t>
        </is>
      </c>
      <c r="E62" s="20" t="inlineStr">
        <is>
          <t>L2 次段階</t>
        </is>
      </c>
      <c r="F62" s="14" t="inlineStr">
        <is>
          <t>実用的な速度で動く</t>
        </is>
      </c>
      <c r="G62" s="14" t="inlineStr">
        <is>
          <t>実務上支障のない時間</t>
        </is>
      </c>
      <c r="H62" s="14" t="inlineStr">
        <is>
          <t>影響なし（リリース後に計測）</t>
        </is>
      </c>
      <c r="I62" s="14" t="inlineStr">
        <is>
          <t>ページング・一括取込の最適化</t>
        </is>
      </c>
      <c r="J62" s="14" t="inlineStr">
        <is>
          <t>従業員一覧／設定インポート</t>
        </is>
      </c>
      <c r="K62" s="14" t="inlineStr">
        <is>
          <t>-</t>
        </is>
      </c>
      <c r="L62" s="14" t="inlineStr">
        <is>
          <t>§第1部 9 画面の構成 ／ 第2部 ケース別遷移</t>
        </is>
      </c>
      <c r="M62" s="14" t="inlineStr">
        <is>
          <t>-</t>
        </is>
      </c>
      <c r="N62" s="17" t="inlineStr"/>
      <c r="O62" s="18" t="inlineStr"/>
      <c r="P62" s="17" t="inlineStr"/>
      <c r="Q62" s="17" t="inlineStr"/>
    </row>
    <row r="63">
      <c r="A63" s="14" t="inlineStr">
        <is>
          <t>M6 次段階（今回は実装しない）</t>
        </is>
      </c>
      <c r="B63" s="14" t="inlineStr">
        <is>
          <t>無くても業務は回る。実測を記録し次の優先順位を決める</t>
        </is>
      </c>
      <c r="C63" s="14" t="inlineStr">
        <is>
          <t>入出力：マッピングの一括運用</t>
        </is>
      </c>
      <c r="D63" s="15" t="inlineStr">
        <is>
          <t>AC-51</t>
        </is>
      </c>
      <c r="E63" s="20" t="inlineStr">
        <is>
          <t>L2 次段階</t>
        </is>
      </c>
      <c r="F63" s="14" t="inlineStr">
        <is>
          <t>マッピング表をテンプレートでダウンロードし、記入したファイルをアップロードして一括登録できること。行の追加と更新もできること</t>
        </is>
      </c>
      <c r="G63" s="14" t="inlineStr">
        <is>
          <t>テンプレートDL・アップロード（CSV最大10MB）・行を追加・更新する がいずれも動作（失敗=0）。10MB超は拒否</t>
        </is>
      </c>
      <c r="H63" s="14" t="inlineStr">
        <is>
          <t>影響なし（1件ずつ設定する運用で代替）</t>
        </is>
      </c>
      <c r="I63" s="14" t="inlineStr">
        <is>
          <t>マッピング行のCRUDと、テンプレートCSVの入出力（アップロードは上限を設ける）</t>
        </is>
      </c>
      <c r="J63" s="14" t="inlineStr">
        <is>
          <t>列マッピングテンプレート</t>
        </is>
      </c>
      <c r="K63" s="14" t="inlineStr">
        <is>
          <t>T-I19</t>
        </is>
      </c>
      <c r="L63" s="14" t="inlineStr">
        <is>
          <t>§第2部 フロー1・8・9・10</t>
        </is>
      </c>
      <c r="M63" s="14" t="inlineStr">
        <is>
          <t>T-I19.png</t>
        </is>
      </c>
      <c r="N63" s="17" t="inlineStr"/>
      <c r="O63" s="18" t="inlineStr"/>
      <c r="P63" s="17" t="inlineStr"/>
      <c r="Q63" s="17" t="inlineStr"/>
    </row>
  </sheetData>
  <autoFilter ref="A12:Q63"/>
  <mergeCells count="3">
    <mergeCell ref="A2:Q2"/>
    <mergeCell ref="B11:J11"/>
    <mergeCell ref="A1:Q1"/>
  </mergeCells>
  <conditionalFormatting sqref="N13:N63">
    <cfRule type="cellIs" priority="1" operator="equal" dxfId="0">
      <formula>"OK"</formula>
    </cfRule>
    <cfRule type="cellIs" priority="2" operator="equal" dxfId="1">
      <formula>"NG"</formula>
    </cfRule>
  </conditionalFormatting>
  <conditionalFormatting sqref="J5:J10">
    <cfRule type="expression" priority="3" dxfId="0">
      <formula>LEFT($J5,2)="完了"</formula>
    </cfRule>
    <cfRule type="expression" priority="4" dxfId="1">
      <formula>LEFT($J5,2)="未達"</formula>
    </cfRule>
  </conditionalFormatting>
  <dataValidations count="1">
    <dataValidation sqref="N13:N63" showDropDown="0" showInputMessage="0" showErrorMessage="0" allowBlank="1" type="list">
      <formula1>"OK,NG,対象外"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2026-08-05T02:00:56Z</dcterms:created>
  <dcterms:modified xmlns:dcterms="http://purl.org/dc/terms/" xmlns:xsi="http://www.w3.org/2001/XMLSchema-instance" xsi:type="dcterms:W3CDTF">2026-08-05T02:00:57Z</dcterms:modified>
</cp:coreProperties>
</file>